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activeX/activeX2.xml" ContentType="application/vnd.ms-office.activeX+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75" windowWidth="20730" windowHeight="10695"/>
  </bookViews>
  <sheets>
    <sheet name="_チケット一括作成" sheetId="1" r:id="rId1"/>
    <sheet name="予定工数履歴" sheetId="3" r:id="rId2"/>
    <sheet name="設定" sheetId="2" r:id="rId3"/>
  </sheets>
  <definedNames>
    <definedName name="_xlnm._FilterDatabase" localSheetId="0" hidden="1">_チケット一括作成!$A$1:$AA$13</definedName>
    <definedName name="_xlnm._FilterDatabase" localSheetId="1" hidden="1">予定工数履歴!$A$1:$G$65536</definedName>
    <definedName name="No" localSheetId="1">予定工数履歴!$A$5:$A$65536</definedName>
    <definedName name="No">_チケット一括作成!$A$2:$A$65536</definedName>
    <definedName name="_xlnm.Print_Titles" localSheetId="0">_チケット一括作成!$1:$1</definedName>
    <definedName name="_xlnm.Print_Titles" localSheetId="1">予定工数履歴!$A:$A,予定工数履歴!$1:$1</definedName>
    <definedName name="データ" localSheetId="1">予定工数履歴!$A:$F</definedName>
    <definedName name="データ">_チケット一括作成!$A:$AA</definedName>
    <definedName name="開始日">_チケット一括作成!$O$2:$O$65536</definedName>
    <definedName name="期日">_チケット一括作成!$P$2:$P$65536</definedName>
    <definedName name="休日曜日">設定!$C$13:$C$19</definedName>
    <definedName name="工数１日">設定!$B$4</definedName>
    <definedName name="工数未入力">設定!$B$7</definedName>
    <definedName name="再計算開始日付">設定!$B$10</definedName>
    <definedName name="祝日設定">設定!$E$4:$E$40</definedName>
    <definedName name="順">_チケット一括作成!$B$2:$B$65536</definedName>
    <definedName name="進捗報告日">設定!$L$2</definedName>
    <definedName name="進捗報告日2">設定!$I$2</definedName>
    <definedName name="進捗率">_チケット一括作成!$S$2:$S$65536</definedName>
    <definedName name="題名" localSheetId="1">予定工数履歴!$B$5:$B$65536</definedName>
    <definedName name="題名">_チケット一括作成!$I$2:$I$65536</definedName>
    <definedName name="担当者" localSheetId="1">予定工数履歴!$C$5:$C$65536</definedName>
    <definedName name="担当者">_チケット一括作成!$K$2:$K$65536</definedName>
    <definedName name="担当者状況雛型行">設定!$K$4:$S$4</definedName>
    <definedName name="当初工数">_チケット一括作成!$X$2:$X$65536</definedName>
    <definedName name="日付計算対象外">設定!$B$22:$C$29</definedName>
    <definedName name="無視休日祝日">設定!$B$32:$C$40</definedName>
    <definedName name="予定工数">_チケット一括作成!$Q$2:$Q$65536</definedName>
    <definedName name="予定工数履歴">設定!$B$43</definedName>
    <definedName name="予定工数履歴雛型列">予定工数履歴!$D:$D</definedName>
  </definedNames>
  <calcPr calcId="124519"/>
</workbook>
</file>

<file path=xl/calcChain.xml><?xml version="1.0" encoding="utf-8"?>
<calcChain xmlns="http://schemas.openxmlformats.org/spreadsheetml/2006/main">
  <c r="S8" i="2"/>
  <c r="R8"/>
  <c r="Q8"/>
  <c r="P8"/>
  <c r="O8"/>
  <c r="N8"/>
  <c r="M8"/>
  <c r="S7"/>
  <c r="R7"/>
  <c r="Q7"/>
  <c r="S6"/>
  <c r="R6"/>
  <c r="Q6"/>
  <c r="S5"/>
  <c r="R5"/>
  <c r="Q5"/>
  <c r="S4"/>
  <c r="R4"/>
  <c r="Q4"/>
  <c r="I6"/>
  <c r="I8" s="1"/>
  <c r="I4"/>
  <c r="I5"/>
  <c r="I7" s="1"/>
  <c r="I9" l="1"/>
</calcChain>
</file>

<file path=xl/comments1.xml><?xml version="1.0" encoding="utf-8"?>
<comments xmlns="http://schemas.openxmlformats.org/spreadsheetml/2006/main">
  <authors>
    <author>野村昌由</author>
  </authors>
  <commentList>
    <comment ref="C1" authorId="0">
      <text>
        <r>
          <rPr>
            <sz val="9"/>
            <color indexed="81"/>
            <rFont val="ＭＳ Ｐゴシック"/>
            <family val="3"/>
            <charset val="128"/>
          </rPr>
          <t>チケット一覧をCSV出力した内容をこのセルから貼り付けると既存チケットが更新出来ます。</t>
        </r>
      </text>
    </comment>
    <comment ref="N1" authorId="0">
      <text>
        <r>
          <rPr>
            <sz val="9"/>
            <color indexed="81"/>
            <rFont val="ＭＳ Ｐゴシック"/>
            <family val="3"/>
            <charset val="128"/>
          </rPr>
          <t>全角や/を使うとインポートでエラーになるので要注意</t>
        </r>
      </text>
    </comment>
  </commentList>
</comments>
</file>

<file path=xl/sharedStrings.xml><?xml version="1.0" encoding="utf-8"?>
<sst xmlns="http://schemas.openxmlformats.org/spreadsheetml/2006/main" count="232" uniqueCount="112">
  <si>
    <t>題名</t>
    <rPh sb="0" eb="2">
      <t>ダイメイ</t>
    </rPh>
    <phoneticPr fontId="1"/>
  </si>
  <si>
    <t>説明</t>
    <rPh sb="0" eb="2">
      <t>セツメイ</t>
    </rPh>
    <phoneticPr fontId="1"/>
  </si>
  <si>
    <t>担当者</t>
    <rPh sb="0" eb="3">
      <t>タントウシャ</t>
    </rPh>
    <phoneticPr fontId="1"/>
  </si>
  <si>
    <t>対象バージョン</t>
    <rPh sb="0" eb="2">
      <t>タイショウ</t>
    </rPh>
    <phoneticPr fontId="1"/>
  </si>
  <si>
    <t>作成者</t>
    <rPh sb="0" eb="3">
      <t>サクセイシャ</t>
    </rPh>
    <phoneticPr fontId="1"/>
  </si>
  <si>
    <t>カテゴリ</t>
    <phoneticPr fontId="1"/>
  </si>
  <si>
    <t>優先度</t>
    <rPh sb="0" eb="3">
      <t>ユウセンド</t>
    </rPh>
    <phoneticPr fontId="1"/>
  </si>
  <si>
    <t>トラッカー</t>
    <phoneticPr fontId="1"/>
  </si>
  <si>
    <t>ステータス</t>
    <phoneticPr fontId="1"/>
  </si>
  <si>
    <t>開始日</t>
    <rPh sb="0" eb="3">
      <t>カイシビ</t>
    </rPh>
    <phoneticPr fontId="1"/>
  </si>
  <si>
    <t>期日</t>
    <rPh sb="0" eb="2">
      <t>キジツ</t>
    </rPh>
    <phoneticPr fontId="1"/>
  </si>
  <si>
    <t>予定工数</t>
    <rPh sb="0" eb="2">
      <t>ヨテイ</t>
    </rPh>
    <rPh sb="2" eb="4">
      <t>コウスウ</t>
    </rPh>
    <phoneticPr fontId="1"/>
  </si>
  <si>
    <t>プロジェクト</t>
    <phoneticPr fontId="1"/>
  </si>
  <si>
    <t>作成日</t>
    <rPh sb="0" eb="3">
      <t>サクセイビ</t>
    </rPh>
    <phoneticPr fontId="1"/>
  </si>
  <si>
    <t>更新日</t>
    <rPh sb="0" eb="3">
      <t>コウシンビ</t>
    </rPh>
    <phoneticPr fontId="1"/>
  </si>
  <si>
    <t>№</t>
    <phoneticPr fontId="1"/>
  </si>
  <si>
    <t>順</t>
    <rPh sb="0" eb="1">
      <t>ジュン</t>
    </rPh>
    <phoneticPr fontId="1"/>
  </si>
  <si>
    <t>済</t>
    <rPh sb="0" eb="1">
      <t>ズ</t>
    </rPh>
    <phoneticPr fontId="1"/>
  </si>
  <si>
    <t>Id</t>
    <phoneticPr fontId="1"/>
  </si>
  <si>
    <t>元日</t>
  </si>
  <si>
    <t>成人の日</t>
  </si>
  <si>
    <t>建国記念の日</t>
  </si>
  <si>
    <t>春分の日</t>
  </si>
  <si>
    <t>昭和の日</t>
  </si>
  <si>
    <t>憲法記念日</t>
  </si>
  <si>
    <t>みどりの日</t>
  </si>
  <si>
    <t>こどもの日</t>
  </si>
  <si>
    <t>海の日</t>
  </si>
  <si>
    <t>敬老の日</t>
  </si>
  <si>
    <t>秋分の日</t>
  </si>
  <si>
    <t>体育の日</t>
  </si>
  <si>
    <t>文化の日</t>
  </si>
  <si>
    <t>勤労感謝の日</t>
  </si>
  <si>
    <t>天皇誕生日</t>
  </si>
  <si>
    <t>振替休日</t>
  </si>
  <si>
    <t>http://www.h3.dion.ne.jp/~sakatsu/holiday_topic.htm</t>
    <phoneticPr fontId="1"/>
  </si>
  <si>
    <t>必要な場合、以下から取得</t>
    <rPh sb="0" eb="2">
      <t>ヒツヨウ</t>
    </rPh>
    <rPh sb="3" eb="5">
      <t>バアイ</t>
    </rPh>
    <rPh sb="6" eb="8">
      <t>イカ</t>
    </rPh>
    <rPh sb="10" eb="12">
      <t>シュトク</t>
    </rPh>
    <phoneticPr fontId="1"/>
  </si>
  <si>
    <t>日</t>
    <rPh sb="0" eb="1">
      <t>ニチ</t>
    </rPh>
    <phoneticPr fontId="1"/>
  </si>
  <si>
    <t>土</t>
    <rPh sb="0" eb="1">
      <t>ド</t>
    </rPh>
    <phoneticPr fontId="1"/>
  </si>
  <si>
    <t>月</t>
    <rPh sb="0" eb="1">
      <t>ゲツ</t>
    </rPh>
    <phoneticPr fontId="1"/>
  </si>
  <si>
    <t>火</t>
    <rPh sb="0" eb="1">
      <t>ヒ</t>
    </rPh>
    <phoneticPr fontId="1"/>
  </si>
  <si>
    <t>水</t>
    <rPh sb="0" eb="1">
      <t>スイ</t>
    </rPh>
    <phoneticPr fontId="1"/>
  </si>
  <si>
    <t>木</t>
    <rPh sb="0" eb="1">
      <t>モク</t>
    </rPh>
    <phoneticPr fontId="1"/>
  </si>
  <si>
    <t>金</t>
    <rPh sb="0" eb="1">
      <t>キン</t>
    </rPh>
    <phoneticPr fontId="1"/>
  </si>
  <si>
    <t>○</t>
    <phoneticPr fontId="1"/>
  </si>
  <si>
    <t>タスク４</t>
  </si>
  <si>
    <t>タスク５</t>
  </si>
  <si>
    <t>タスク６</t>
  </si>
  <si>
    <t>タスク７</t>
  </si>
  <si>
    <t>タスク８</t>
  </si>
  <si>
    <t>タスク９</t>
  </si>
  <si>
    <t>タスク１１</t>
  </si>
  <si>
    <t>タスク１２</t>
  </si>
  <si>
    <t>1</t>
    <phoneticPr fontId="1"/>
  </si>
  <si>
    <t>2</t>
    <phoneticPr fontId="1"/>
  </si>
  <si>
    <t>未入力時の予定工数</t>
    <phoneticPr fontId="1"/>
  </si>
  <si>
    <t>○</t>
  </si>
  <si>
    <t>再計算する開始日付</t>
    <rPh sb="0" eb="3">
      <t>サイケイサン</t>
    </rPh>
    <rPh sb="5" eb="7">
      <t>カイシ</t>
    </rPh>
    <rPh sb="7" eb="9">
      <t>ヒヅケ</t>
    </rPh>
    <phoneticPr fontId="1"/>
  </si>
  <si>
    <t>祝日設定</t>
    <rPh sb="0" eb="2">
      <t>シュクジツ</t>
    </rPh>
    <rPh sb="2" eb="4">
      <t>セッテイ</t>
    </rPh>
    <phoneticPr fontId="1"/>
  </si>
  <si>
    <t>無視する休日、祝日</t>
    <rPh sb="0" eb="2">
      <t>ムシ</t>
    </rPh>
    <rPh sb="4" eb="6">
      <t>キュウジツ</t>
    </rPh>
    <rPh sb="7" eb="9">
      <t>シュクジツ</t>
    </rPh>
    <phoneticPr fontId="1"/>
  </si>
  <si>
    <t>１日と計算する工数</t>
    <phoneticPr fontId="1"/>
  </si>
  <si>
    <t>休日の曜日</t>
    <rPh sb="0" eb="2">
      <t>キュウジツ</t>
    </rPh>
    <rPh sb="3" eb="5">
      <t>ヨウビ</t>
    </rPh>
    <phoneticPr fontId="1"/>
  </si>
  <si>
    <t>日付計算しない担当</t>
    <rPh sb="0" eb="2">
      <t>ヒヅケ</t>
    </rPh>
    <rPh sb="2" eb="4">
      <t>ケイサン</t>
    </rPh>
    <rPh sb="7" eb="9">
      <t>タントウ</t>
    </rPh>
    <phoneticPr fontId="1"/>
  </si>
  <si>
    <t>進捗 %</t>
    <rPh sb="0" eb="2">
      <t>シンチョク</t>
    </rPh>
    <phoneticPr fontId="1"/>
  </si>
  <si>
    <t>回答</t>
    <rPh sb="0" eb="2">
      <t>カイトウ</t>
    </rPh>
    <phoneticPr fontId="1"/>
  </si>
  <si>
    <t>当初工数</t>
    <rPh sb="0" eb="2">
      <t>トウショ</t>
    </rPh>
    <rPh sb="2" eb="4">
      <t>コウスウ</t>
    </rPh>
    <phoneticPr fontId="1"/>
  </si>
  <si>
    <t>終了日</t>
    <rPh sb="0" eb="3">
      <t>シュウリョウビ</t>
    </rPh>
    <phoneticPr fontId="1"/>
  </si>
  <si>
    <t>当初工数</t>
  </si>
  <si>
    <t>予定工数</t>
  </si>
  <si>
    <t>予定人日</t>
  </si>
  <si>
    <t>予定人月</t>
  </si>
  <si>
    <t>変動率</t>
    <rPh sb="0" eb="2">
      <t>ヘンドウ</t>
    </rPh>
    <rPh sb="2" eb="3">
      <t>リツ</t>
    </rPh>
    <phoneticPr fontId="1"/>
  </si>
  <si>
    <t>国民の休日</t>
  </si>
  <si>
    <t>作業時間</t>
    <rPh sb="0" eb="2">
      <t>サギョウ</t>
    </rPh>
    <rPh sb="2" eb="4">
      <t>ジカン</t>
    </rPh>
    <phoneticPr fontId="1"/>
  </si>
  <si>
    <t>関連するチケット</t>
    <rPh sb="0" eb="2">
      <t>カンレン</t>
    </rPh>
    <phoneticPr fontId="1"/>
  </si>
  <si>
    <t>プライベート</t>
    <phoneticPr fontId="1"/>
  </si>
  <si>
    <t>進捗報告日</t>
    <rPh sb="0" eb="2">
      <t>シンチョク</t>
    </rPh>
    <rPh sb="2" eb="4">
      <t>ホウコク</t>
    </rPh>
    <rPh sb="4" eb="5">
      <t>ビ</t>
    </rPh>
    <phoneticPr fontId="1"/>
  </si>
  <si>
    <t>予定工数履歴</t>
    <rPh sb="0" eb="2">
      <t>ヨテイ</t>
    </rPh>
    <rPh sb="2" eb="4">
      <t>コウスウ</t>
    </rPh>
    <rPh sb="4" eb="6">
      <t>リレキ</t>
    </rPh>
    <phoneticPr fontId="1"/>
  </si>
  <si>
    <t>サンプルプロジェクト</t>
  </si>
  <si>
    <t>機能</t>
  </si>
  <si>
    <t>未着手</t>
  </si>
  <si>
    <t>通常</t>
  </si>
  <si>
    <t>タスク１</t>
  </si>
  <si>
    <t>mnomura</t>
  </si>
  <si>
    <t>testuser1</t>
  </si>
  <si>
    <t>1_0_0</t>
  </si>
  <si>
    <t>タスク２</t>
  </si>
  <si>
    <t>タスク３</t>
  </si>
  <si>
    <t>testuser4</t>
  </si>
  <si>
    <t>testuser3</t>
  </si>
  <si>
    <t>タスク１０</t>
  </si>
  <si>
    <t>testuser2</t>
  </si>
  <si>
    <t>9_9_9</t>
  </si>
  <si>
    <t>トータル工数</t>
  </si>
  <si>
    <t>終了工数（予定）</t>
  </si>
  <si>
    <t>終了工数（実績）</t>
  </si>
  <si>
    <t>終了比率（予定）</t>
  </si>
  <si>
    <t>終了比率（実績）</t>
  </si>
  <si>
    <t>予実差異比率</t>
  </si>
  <si>
    <t>進捗情報</t>
    <rPh sb="0" eb="2">
      <t>シンチョク</t>
    </rPh>
    <rPh sb="2" eb="4">
      <t>ジョウホウ</t>
    </rPh>
    <phoneticPr fontId="1"/>
  </si>
  <si>
    <t>予定工数計</t>
    <rPh sb="0" eb="2">
      <t>ヨテイ</t>
    </rPh>
    <rPh sb="2" eb="4">
      <t>コウスウ</t>
    </rPh>
    <rPh sb="4" eb="5">
      <t>ケイ</t>
    </rPh>
    <phoneticPr fontId="1"/>
  </si>
  <si>
    <t>実績工数計</t>
    <rPh sb="0" eb="2">
      <t>ジッセキ</t>
    </rPh>
    <rPh sb="2" eb="4">
      <t>コウスウ</t>
    </rPh>
    <rPh sb="4" eb="5">
      <t>ケイ</t>
    </rPh>
    <phoneticPr fontId="1"/>
  </si>
  <si>
    <t>作成する</t>
  </si>
  <si>
    <t>残り工数計</t>
    <rPh sb="0" eb="1">
      <t>ノコ</t>
    </rPh>
    <rPh sb="2" eb="4">
      <t>コウスウ</t>
    </rPh>
    <rPh sb="4" eb="5">
      <t>ケイ</t>
    </rPh>
    <phoneticPr fontId="1"/>
  </si>
  <si>
    <t>親Ticket</t>
    <phoneticPr fontId="1"/>
  </si>
  <si>
    <t>実績工数</t>
    <rPh sb="0" eb="2">
      <t>ジッセキ</t>
    </rPh>
    <rPh sb="2" eb="4">
      <t>コウスウ</t>
    </rPh>
    <phoneticPr fontId="1"/>
  </si>
  <si>
    <t>残り工数</t>
    <rPh sb="0" eb="1">
      <t>ノコ</t>
    </rPh>
    <rPh sb="2" eb="4">
      <t>コウスウ</t>
    </rPh>
    <phoneticPr fontId="1"/>
  </si>
  <si>
    <t>X-Projects v0.3.3</t>
    <phoneticPr fontId="1"/>
  </si>
  <si>
    <t>testuser1</t>
    <phoneticPr fontId="1"/>
  </si>
  <si>
    <t>testuser2</t>
    <phoneticPr fontId="1"/>
  </si>
  <si>
    <t>testuser3</t>
    <phoneticPr fontId="1"/>
  </si>
  <si>
    <t>testuser4</t>
    <phoneticPr fontId="1"/>
  </si>
</sst>
</file>

<file path=xl/styles.xml><?xml version="1.0" encoding="utf-8"?>
<styleSheet xmlns="http://schemas.openxmlformats.org/spreadsheetml/2006/main">
  <numFmts count="4">
    <numFmt numFmtId="176" formatCode="yyyy/mm/dd"/>
    <numFmt numFmtId="177" formatCode="0000"/>
    <numFmt numFmtId="178" formatCode="0.00_);[Red]\(0.00\)"/>
    <numFmt numFmtId="179" formatCode="yyyy/mm/dd\ hh:mm"/>
  </numFmts>
  <fonts count="6">
    <font>
      <sz val="11"/>
      <name val="ＭＳ Ｐゴシック"/>
      <family val="3"/>
      <charset val="128"/>
    </font>
    <font>
      <sz val="6"/>
      <name val="ＭＳ Ｐゴシック"/>
      <family val="3"/>
      <charset val="128"/>
    </font>
    <font>
      <sz val="9"/>
      <color indexed="81"/>
      <name val="ＭＳ Ｐゴシック"/>
      <family val="3"/>
      <charset val="128"/>
    </font>
    <font>
      <u/>
      <sz val="11"/>
      <color indexed="12"/>
      <name val="ＭＳ Ｐゴシック"/>
      <family val="3"/>
      <charset val="128"/>
    </font>
    <font>
      <b/>
      <sz val="11"/>
      <name val="ＭＳ Ｐゴシック"/>
      <family val="3"/>
      <charset val="128"/>
    </font>
    <font>
      <sz val="11"/>
      <color indexed="55"/>
      <name val="ＭＳ Ｐゴシック"/>
      <family val="3"/>
      <charset val="128"/>
    </font>
  </fonts>
  <fills count="5">
    <fill>
      <patternFill patternType="none"/>
    </fill>
    <fill>
      <patternFill patternType="gray125"/>
    </fill>
    <fill>
      <patternFill patternType="solid">
        <fgColor indexed="22"/>
        <bgColor indexed="64"/>
      </patternFill>
    </fill>
    <fill>
      <patternFill patternType="solid">
        <fgColor indexed="46"/>
        <bgColor indexed="64"/>
      </patternFill>
    </fill>
    <fill>
      <patternFill patternType="solid">
        <fgColor indexed="4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0" fontId="3" fillId="0" borderId="0" applyNumberFormat="0" applyFill="0" applyBorder="0" applyAlignment="0" applyProtection="0">
      <alignment vertical="top"/>
      <protection locked="0"/>
    </xf>
  </cellStyleXfs>
  <cellXfs count="53">
    <xf numFmtId="0" fontId="0" fillId="0" borderId="0" xfId="0">
      <alignment vertical="center"/>
    </xf>
    <xf numFmtId="0" fontId="0" fillId="2" borderId="1" xfId="0" applyFill="1" applyBorder="1">
      <alignment vertical="center"/>
    </xf>
    <xf numFmtId="176" fontId="0" fillId="2" borderId="1" xfId="0" applyNumberFormat="1" applyFill="1" applyBorder="1">
      <alignment vertical="center"/>
    </xf>
    <xf numFmtId="176" fontId="0" fillId="0" borderId="0" xfId="0" applyNumberFormat="1">
      <alignment vertical="center"/>
    </xf>
    <xf numFmtId="49" fontId="0" fillId="2" borderId="1" xfId="0" applyNumberFormat="1" applyFill="1" applyBorder="1">
      <alignment vertical="center"/>
    </xf>
    <xf numFmtId="49" fontId="0" fillId="0" borderId="0" xfId="0" applyNumberFormat="1">
      <alignment vertical="center"/>
    </xf>
    <xf numFmtId="49" fontId="0" fillId="0" borderId="0" xfId="0" applyNumberFormat="1" applyAlignment="1">
      <alignment horizontal="center" vertical="center"/>
    </xf>
    <xf numFmtId="49" fontId="0" fillId="2" borderId="1" xfId="0" applyNumberFormat="1" applyFill="1" applyBorder="1" applyAlignment="1">
      <alignment vertical="center"/>
    </xf>
    <xf numFmtId="0" fontId="3" fillId="0" borderId="0" xfId="1" applyAlignment="1" applyProtection="1">
      <alignment vertical="center"/>
    </xf>
    <xf numFmtId="0" fontId="0" fillId="0" borderId="0" xfId="0" applyAlignment="1">
      <alignment horizontal="center" vertical="center"/>
    </xf>
    <xf numFmtId="0" fontId="0" fillId="0" borderId="0" xfId="0" applyNumberFormat="1" applyAlignment="1">
      <alignment horizontal="center" vertical="center"/>
    </xf>
    <xf numFmtId="0" fontId="0" fillId="0" borderId="1" xfId="0" applyBorder="1" applyAlignment="1">
      <alignment horizontal="center" vertical="center"/>
    </xf>
    <xf numFmtId="0" fontId="0" fillId="0" borderId="1" xfId="0" applyBorder="1">
      <alignment vertical="center"/>
    </xf>
    <xf numFmtId="176" fontId="0" fillId="0" borderId="1" xfId="0" applyNumberFormat="1" applyBorder="1" applyAlignment="1">
      <alignment horizontal="center" vertical="center"/>
    </xf>
    <xf numFmtId="0" fontId="4" fillId="0" borderId="0" xfId="0" applyNumberFormat="1" applyFont="1" applyAlignment="1">
      <alignment vertical="center"/>
    </xf>
    <xf numFmtId="177" fontId="0" fillId="2" borderId="1" xfId="0" applyNumberFormat="1" applyFill="1" applyBorder="1" applyAlignment="1">
      <alignment vertical="center"/>
    </xf>
    <xf numFmtId="177" fontId="0" fillId="0" borderId="0" xfId="0" applyNumberFormat="1" applyAlignment="1">
      <alignment horizontal="center" vertical="center"/>
    </xf>
    <xf numFmtId="0" fontId="0" fillId="3" borderId="1" xfId="0" applyNumberFormat="1" applyFill="1" applyBorder="1" applyAlignment="1">
      <alignment horizontal="center" vertical="center"/>
    </xf>
    <xf numFmtId="0" fontId="0" fillId="3" borderId="1" xfId="0" applyFill="1" applyBorder="1" applyAlignment="1">
      <alignment horizontal="center" vertical="center"/>
    </xf>
    <xf numFmtId="178" fontId="0" fillId="0" borderId="0" xfId="0" applyNumberFormat="1">
      <alignment vertical="center"/>
    </xf>
    <xf numFmtId="178" fontId="0" fillId="3" borderId="1" xfId="0" applyNumberFormat="1" applyFill="1" applyBorder="1" applyAlignment="1">
      <alignment horizontal="center" vertical="center"/>
    </xf>
    <xf numFmtId="178" fontId="0" fillId="0" borderId="1" xfId="0" applyNumberFormat="1" applyBorder="1">
      <alignment vertical="center"/>
    </xf>
    <xf numFmtId="178" fontId="0" fillId="0" borderId="2" xfId="0" applyNumberFormat="1" applyBorder="1">
      <alignment vertical="center"/>
    </xf>
    <xf numFmtId="176" fontId="0" fillId="2" borderId="1" xfId="0" applyNumberFormat="1" applyFill="1" applyBorder="1" applyAlignment="1">
      <alignment horizontal="left" vertical="center"/>
    </xf>
    <xf numFmtId="176" fontId="0" fillId="3" borderId="1" xfId="0" applyNumberFormat="1" applyFill="1" applyBorder="1" applyAlignment="1">
      <alignment horizontal="center" vertical="center"/>
    </xf>
    <xf numFmtId="176" fontId="0" fillId="0" borderId="0" xfId="0" applyNumberFormat="1" applyAlignment="1">
      <alignment horizontal="center" vertical="center"/>
    </xf>
    <xf numFmtId="0" fontId="0" fillId="0" borderId="3" xfId="0" applyBorder="1">
      <alignment vertical="center"/>
    </xf>
    <xf numFmtId="176" fontId="0" fillId="0" borderId="3" xfId="0" applyNumberFormat="1" applyBorder="1" applyAlignment="1">
      <alignment horizontal="center" vertical="center"/>
    </xf>
    <xf numFmtId="178" fontId="0" fillId="0" borderId="3" xfId="0" applyNumberFormat="1" applyBorder="1">
      <alignment vertical="center"/>
    </xf>
    <xf numFmtId="0" fontId="0" fillId="0" borderId="2" xfId="0" applyBorder="1">
      <alignment vertical="center"/>
    </xf>
    <xf numFmtId="176" fontId="0" fillId="0" borderId="2" xfId="0" applyNumberFormat="1" applyBorder="1" applyAlignment="1">
      <alignment horizontal="center" vertical="center"/>
    </xf>
    <xf numFmtId="179" fontId="0" fillId="2" borderId="1" xfId="0" applyNumberFormat="1" applyFill="1" applyBorder="1">
      <alignment vertical="center"/>
    </xf>
    <xf numFmtId="179" fontId="0" fillId="0" borderId="0" xfId="0" applyNumberFormat="1">
      <alignment vertical="center"/>
    </xf>
    <xf numFmtId="9" fontId="0" fillId="0" borderId="1" xfId="0" applyNumberFormat="1" applyBorder="1">
      <alignment vertical="center"/>
    </xf>
    <xf numFmtId="0" fontId="0" fillId="0" borderId="0" xfId="0" applyAlignment="1">
      <alignment vertical="center"/>
    </xf>
    <xf numFmtId="0" fontId="0" fillId="0" borderId="0" xfId="0" applyNumberFormat="1" applyFill="1" applyBorder="1" applyAlignment="1">
      <alignment vertical="center"/>
    </xf>
    <xf numFmtId="0" fontId="0" fillId="0" borderId="0" xfId="0" applyNumberFormat="1" applyFill="1" applyAlignment="1">
      <alignment vertical="center"/>
    </xf>
    <xf numFmtId="49" fontId="5" fillId="2" borderId="1" xfId="0" applyNumberFormat="1" applyFont="1" applyFill="1" applyBorder="1">
      <alignment vertical="center"/>
    </xf>
    <xf numFmtId="179" fontId="5" fillId="2" borderId="1" xfId="0" applyNumberFormat="1" applyFont="1" applyFill="1" applyBorder="1">
      <alignment vertical="center"/>
    </xf>
    <xf numFmtId="49" fontId="5" fillId="2" borderId="1" xfId="0" applyNumberFormat="1" applyFont="1" applyFill="1" applyBorder="1" applyAlignment="1">
      <alignment vertical="center"/>
    </xf>
    <xf numFmtId="176" fontId="0" fillId="0" borderId="1" xfId="0" applyNumberFormat="1" applyBorder="1" applyAlignment="1">
      <alignment horizontal="center" vertical="center"/>
    </xf>
    <xf numFmtId="0" fontId="0" fillId="2" borderId="0" xfId="0" applyNumberFormat="1" applyFill="1" applyBorder="1" applyAlignment="1">
      <alignment horizontal="center" vertical="center"/>
    </xf>
    <xf numFmtId="0" fontId="0" fillId="2" borderId="4" xfId="0" applyNumberFormat="1" applyFill="1" applyBorder="1" applyAlignment="1">
      <alignment horizontal="center" vertical="center"/>
    </xf>
    <xf numFmtId="176" fontId="0" fillId="0" borderId="1" xfId="0" applyNumberFormat="1" applyBorder="1" applyAlignment="1">
      <alignment horizontal="center" vertical="center"/>
    </xf>
    <xf numFmtId="0" fontId="0" fillId="4" borderId="1" xfId="0" applyNumberFormat="1" applyFill="1" applyBorder="1" applyAlignment="1">
      <alignment horizontal="center" vertical="center"/>
    </xf>
    <xf numFmtId="0" fontId="0" fillId="0" borderId="1" xfId="0" applyBorder="1" applyAlignment="1">
      <alignment horizontal="center" vertical="center"/>
    </xf>
    <xf numFmtId="0" fontId="0" fillId="0" borderId="1" xfId="0" applyNumberFormat="1" applyBorder="1" applyAlignment="1">
      <alignment horizontal="center" vertical="center"/>
    </xf>
    <xf numFmtId="0" fontId="0" fillId="4" borderId="1" xfId="0" applyFill="1" applyBorder="1" applyAlignment="1">
      <alignment horizontal="center" vertical="center"/>
    </xf>
    <xf numFmtId="0" fontId="0" fillId="0" borderId="5" xfId="0" applyNumberFormat="1" applyBorder="1" applyAlignment="1">
      <alignment vertical="center"/>
    </xf>
    <xf numFmtId="0" fontId="0" fillId="0" borderId="6" xfId="0" applyBorder="1" applyAlignment="1">
      <alignment vertical="center"/>
    </xf>
    <xf numFmtId="0" fontId="0" fillId="3" borderId="1" xfId="0" applyFill="1" applyBorder="1" applyAlignment="1">
      <alignment horizontal="center" vertical="center"/>
    </xf>
    <xf numFmtId="0" fontId="0" fillId="0" borderId="4" xfId="0" applyNumberFormat="1" applyBorder="1" applyAlignment="1">
      <alignment vertical="center"/>
    </xf>
    <xf numFmtId="0" fontId="0" fillId="0" borderId="4" xfId="0" applyBorder="1" applyAlignment="1">
      <alignment vertical="center"/>
    </xf>
  </cellXfs>
  <cellStyles count="2">
    <cellStyle name="ハイパーリンク" xfId="1" builtinId="8"/>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ja-JP"/>
  <c:chart>
    <c:plotArea>
      <c:layout/>
      <c:lineChart>
        <c:grouping val="standard"/>
        <c:ser>
          <c:idx val="0"/>
          <c:order val="0"/>
          <c:tx>
            <c:v>実績工数計</c:v>
          </c:tx>
          <c:cat>
            <c:numRef>
              <c:f>予定工数履歴!$D$1:$G$1</c:f>
              <c:numCache>
                <c:formatCode>yyyy/mm/dd</c:formatCode>
                <c:ptCount val="4"/>
                <c:pt idx="0">
                  <c:v>41792</c:v>
                </c:pt>
                <c:pt idx="1">
                  <c:v>41796</c:v>
                </c:pt>
                <c:pt idx="2">
                  <c:v>41803</c:v>
                </c:pt>
                <c:pt idx="3">
                  <c:v>41808</c:v>
                </c:pt>
              </c:numCache>
            </c:numRef>
          </c:cat>
          <c:val>
            <c:numRef>
              <c:f>予定工数履歴!$D$2:$G$2</c:f>
              <c:numCache>
                <c:formatCode>General</c:formatCode>
                <c:ptCount val="4"/>
                <c:pt idx="0">
                  <c:v>32</c:v>
                </c:pt>
                <c:pt idx="1">
                  <c:v>160</c:v>
                </c:pt>
                <c:pt idx="2">
                  <c:v>322</c:v>
                </c:pt>
                <c:pt idx="3">
                  <c:v>418</c:v>
                </c:pt>
              </c:numCache>
            </c:numRef>
          </c:val>
        </c:ser>
        <c:ser>
          <c:idx val="1"/>
          <c:order val="1"/>
          <c:tx>
            <c:v>残り工数計</c:v>
          </c:tx>
          <c:cat>
            <c:numRef>
              <c:f>予定工数履歴!$D$1:$G$1</c:f>
              <c:numCache>
                <c:formatCode>yyyy/mm/dd</c:formatCode>
                <c:ptCount val="4"/>
                <c:pt idx="0">
                  <c:v>41792</c:v>
                </c:pt>
                <c:pt idx="1">
                  <c:v>41796</c:v>
                </c:pt>
                <c:pt idx="2">
                  <c:v>41803</c:v>
                </c:pt>
                <c:pt idx="3">
                  <c:v>41808</c:v>
                </c:pt>
              </c:numCache>
            </c:numRef>
          </c:cat>
          <c:val>
            <c:numRef>
              <c:f>予定工数履歴!$D$3:$G$3</c:f>
              <c:numCache>
                <c:formatCode>General</c:formatCode>
                <c:ptCount val="4"/>
                <c:pt idx="0">
                  <c:v>448</c:v>
                </c:pt>
                <c:pt idx="1">
                  <c:v>328</c:v>
                </c:pt>
                <c:pt idx="2">
                  <c:v>174</c:v>
                </c:pt>
                <c:pt idx="3">
                  <c:v>98</c:v>
                </c:pt>
              </c:numCache>
            </c:numRef>
          </c:val>
        </c:ser>
        <c:ser>
          <c:idx val="2"/>
          <c:order val="2"/>
          <c:tx>
            <c:v>予定工数計</c:v>
          </c:tx>
          <c:cat>
            <c:numRef>
              <c:f>予定工数履歴!$D$1:$G$1</c:f>
              <c:numCache>
                <c:formatCode>yyyy/mm/dd</c:formatCode>
                <c:ptCount val="4"/>
                <c:pt idx="0">
                  <c:v>41792</c:v>
                </c:pt>
                <c:pt idx="1">
                  <c:v>41796</c:v>
                </c:pt>
                <c:pt idx="2">
                  <c:v>41803</c:v>
                </c:pt>
                <c:pt idx="3">
                  <c:v>41808</c:v>
                </c:pt>
              </c:numCache>
            </c:numRef>
          </c:cat>
          <c:val>
            <c:numRef>
              <c:f>予定工数履歴!$D$4:$G$4</c:f>
              <c:numCache>
                <c:formatCode>General</c:formatCode>
                <c:ptCount val="4"/>
                <c:pt idx="0">
                  <c:v>480</c:v>
                </c:pt>
                <c:pt idx="1">
                  <c:v>488</c:v>
                </c:pt>
                <c:pt idx="2">
                  <c:v>496</c:v>
                </c:pt>
                <c:pt idx="3">
                  <c:v>516</c:v>
                </c:pt>
              </c:numCache>
            </c:numRef>
          </c:val>
        </c:ser>
        <c:marker val="1"/>
        <c:axId val="62949632"/>
        <c:axId val="62820352"/>
      </c:lineChart>
      <c:catAx>
        <c:axId val="62949632"/>
        <c:scaling>
          <c:orientation val="minMax"/>
        </c:scaling>
        <c:axPos val="b"/>
        <c:majorGridlines/>
        <c:numFmt formatCode="yyyy/mm/dd" sourceLinked="1"/>
        <c:tickLblPos val="nextTo"/>
        <c:crossAx val="62820352"/>
        <c:crosses val="autoZero"/>
        <c:lblAlgn val="ctr"/>
        <c:lblOffset val="100"/>
      </c:catAx>
      <c:valAx>
        <c:axId val="62820352"/>
        <c:scaling>
          <c:orientation val="minMax"/>
        </c:scaling>
        <c:axPos val="l"/>
        <c:majorGridlines/>
        <c:numFmt formatCode="General" sourceLinked="1"/>
        <c:tickLblPos val="nextTo"/>
        <c:crossAx val="62949632"/>
        <c:crosses val="autoZero"/>
        <c:crossBetween val="between"/>
      </c:valAx>
    </c:plotArea>
    <c:legend>
      <c:legendPos val="t"/>
      <c:layout/>
    </c:legend>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10</xdr:col>
      <xdr:colOff>41835</xdr:colOff>
      <xdr:row>20</xdr:row>
      <xdr:rowOff>44823</xdr:rowOff>
    </xdr:from>
    <xdr:to>
      <xdr:col>18</xdr:col>
      <xdr:colOff>646953</xdr:colOff>
      <xdr:row>42</xdr:row>
      <xdr:rowOff>156881</xdr:rowOff>
    </xdr:to>
    <xdr:graphicFrame macro="">
      <xdr:nvGraphicFramePr>
        <xdr:cNvPr id="3" name="グラフ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h3.dion.ne.jp/~sakatsu/holiday_topic.htm" TargetMode="External"/></Relationships>
</file>

<file path=xl/worksheets/sheet1.xml><?xml version="1.0" encoding="utf-8"?>
<worksheet xmlns="http://schemas.openxmlformats.org/spreadsheetml/2006/main" xmlns:r="http://schemas.openxmlformats.org/officeDocument/2006/relationships">
  <sheetPr codeName="Sheet1">
    <pageSetUpPr fitToPage="1"/>
  </sheetPr>
  <dimension ref="A1:AA13"/>
  <sheetViews>
    <sheetView tabSelected="1" zoomScale="70" workbookViewId="0">
      <pane xSplit="3" ySplit="1" topLeftCell="D2" activePane="bottomRight" state="frozen"/>
      <selection pane="topRight" activeCell="D1" sqref="D1"/>
      <selection pane="bottomLeft" activeCell="A2" sqref="A2"/>
      <selection pane="bottomRight" activeCell="X14" sqref="X14"/>
    </sheetView>
  </sheetViews>
  <sheetFormatPr defaultRowHeight="13.5"/>
  <cols>
    <col min="1" max="1" width="5.875" style="16" bestFit="1" customWidth="1"/>
    <col min="2" max="3" width="5.875" style="6" bestFit="1" customWidth="1"/>
    <col min="4" max="4" width="12.875" style="5" bestFit="1" customWidth="1"/>
    <col min="5" max="5" width="11.25" style="5" bestFit="1" customWidth="1"/>
    <col min="6" max="6" width="10.625" style="5" hidden="1" customWidth="1"/>
    <col min="7" max="7" width="12" style="5" bestFit="1" customWidth="1"/>
    <col min="8" max="8" width="9.375" style="5" bestFit="1" customWidth="1"/>
    <col min="9" max="9" width="30.625" style="5" customWidth="1"/>
    <col min="10" max="11" width="9.375" style="5" bestFit="1" customWidth="1"/>
    <col min="12" max="12" width="15.625" style="32" customWidth="1"/>
    <col min="13" max="13" width="10.125" style="5" bestFit="1" customWidth="1"/>
    <col min="14" max="14" width="16" style="5" bestFit="1" customWidth="1"/>
    <col min="15" max="16" width="11.625" style="3" bestFit="1" customWidth="1"/>
    <col min="17" max="17" width="11.125" bestFit="1" customWidth="1"/>
    <col min="18" max="18" width="10.625" style="5" hidden="1" customWidth="1"/>
    <col min="19" max="19" width="9.375" hidden="1" customWidth="1"/>
    <col min="20" max="21" width="15.625" style="32" hidden="1" customWidth="1"/>
    <col min="22" max="23" width="7.375" style="6" hidden="1" customWidth="1"/>
    <col min="24" max="24" width="11.125" bestFit="1" customWidth="1"/>
    <col min="25" max="25" width="6.5" style="5" hidden="1" customWidth="1"/>
    <col min="26" max="26" width="30.625" style="5" customWidth="1"/>
    <col min="27" max="27" width="5.875" style="6" customWidth="1"/>
  </cols>
  <sheetData>
    <row r="1" spans="1:27" ht="27" customHeight="1">
      <c r="A1" s="15" t="s">
        <v>15</v>
      </c>
      <c r="B1" s="7" t="s">
        <v>16</v>
      </c>
      <c r="C1" s="7" t="s">
        <v>18</v>
      </c>
      <c r="D1" s="4" t="s">
        <v>12</v>
      </c>
      <c r="E1" s="4" t="s">
        <v>7</v>
      </c>
      <c r="F1" s="37" t="s">
        <v>104</v>
      </c>
      <c r="G1" s="4" t="s">
        <v>8</v>
      </c>
      <c r="H1" s="4" t="s">
        <v>6</v>
      </c>
      <c r="I1" s="4" t="s">
        <v>0</v>
      </c>
      <c r="J1" s="4" t="s">
        <v>4</v>
      </c>
      <c r="K1" s="4" t="s">
        <v>2</v>
      </c>
      <c r="L1" s="31" t="s">
        <v>14</v>
      </c>
      <c r="M1" s="4" t="s">
        <v>5</v>
      </c>
      <c r="N1" s="4" t="s">
        <v>3</v>
      </c>
      <c r="O1" s="2" t="s">
        <v>9</v>
      </c>
      <c r="P1" s="2" t="s">
        <v>10</v>
      </c>
      <c r="Q1" s="1" t="s">
        <v>11</v>
      </c>
      <c r="R1" s="37" t="s">
        <v>73</v>
      </c>
      <c r="S1" s="1" t="s">
        <v>63</v>
      </c>
      <c r="T1" s="38" t="s">
        <v>13</v>
      </c>
      <c r="U1" s="38" t="s">
        <v>66</v>
      </c>
      <c r="V1" s="39" t="s">
        <v>74</v>
      </c>
      <c r="W1" s="39" t="s">
        <v>64</v>
      </c>
      <c r="X1" s="1" t="s">
        <v>65</v>
      </c>
      <c r="Y1" s="37" t="s">
        <v>75</v>
      </c>
      <c r="Z1" s="4" t="s">
        <v>1</v>
      </c>
      <c r="AA1" s="7" t="s">
        <v>17</v>
      </c>
    </row>
    <row r="2" spans="1:27">
      <c r="A2" s="16">
        <v>1</v>
      </c>
      <c r="C2" s="6">
        <v>14660</v>
      </c>
      <c r="D2" s="5" t="s">
        <v>78</v>
      </c>
      <c r="E2" s="5" t="s">
        <v>79</v>
      </c>
      <c r="G2" s="5" t="s">
        <v>80</v>
      </c>
      <c r="H2" s="5" t="s">
        <v>81</v>
      </c>
      <c r="I2" s="5" t="s">
        <v>82</v>
      </c>
      <c r="J2" s="5" t="s">
        <v>83</v>
      </c>
      <c r="K2" s="5" t="s">
        <v>84</v>
      </c>
      <c r="L2" s="32">
        <v>41815.567361111112</v>
      </c>
      <c r="N2" s="5" t="s">
        <v>85</v>
      </c>
      <c r="O2" s="3">
        <v>41792</v>
      </c>
      <c r="P2" s="3">
        <v>41799</v>
      </c>
      <c r="Q2">
        <v>48</v>
      </c>
      <c r="R2" s="5">
        <v>0</v>
      </c>
      <c r="S2">
        <v>0</v>
      </c>
      <c r="T2" s="32">
        <v>41815.567361111112</v>
      </c>
      <c r="X2">
        <v>40</v>
      </c>
      <c r="Y2" s="5" t="b">
        <v>0</v>
      </c>
    </row>
    <row r="3" spans="1:27">
      <c r="A3" s="16">
        <v>2</v>
      </c>
      <c r="C3" s="6">
        <v>14661</v>
      </c>
      <c r="D3" s="5" t="s">
        <v>78</v>
      </c>
      <c r="E3" s="5" t="s">
        <v>79</v>
      </c>
      <c r="G3" s="5" t="s">
        <v>80</v>
      </c>
      <c r="H3" s="5" t="s">
        <v>81</v>
      </c>
      <c r="I3" s="5" t="s">
        <v>86</v>
      </c>
      <c r="J3" s="5" t="s">
        <v>83</v>
      </c>
      <c r="K3" s="5" t="s">
        <v>84</v>
      </c>
      <c r="L3" s="32">
        <v>41815.567361111112</v>
      </c>
      <c r="N3" s="5" t="s">
        <v>85</v>
      </c>
      <c r="O3" s="3">
        <v>41800</v>
      </c>
      <c r="P3" s="3">
        <v>41807</v>
      </c>
      <c r="Q3">
        <v>48</v>
      </c>
      <c r="R3" s="5">
        <v>0</v>
      </c>
      <c r="S3">
        <v>0</v>
      </c>
      <c r="T3" s="32">
        <v>41815.567361111112</v>
      </c>
      <c r="X3">
        <v>40</v>
      </c>
      <c r="Y3" s="5" t="b">
        <v>0</v>
      </c>
    </row>
    <row r="4" spans="1:27">
      <c r="A4" s="16">
        <v>3</v>
      </c>
      <c r="C4" s="6">
        <v>14662</v>
      </c>
      <c r="D4" s="5" t="s">
        <v>78</v>
      </c>
      <c r="E4" s="5" t="s">
        <v>79</v>
      </c>
      <c r="G4" s="5" t="s">
        <v>80</v>
      </c>
      <c r="H4" s="5" t="s">
        <v>81</v>
      </c>
      <c r="I4" s="5" t="s">
        <v>87</v>
      </c>
      <c r="J4" s="5" t="s">
        <v>83</v>
      </c>
      <c r="K4" s="5" t="s">
        <v>84</v>
      </c>
      <c r="L4" s="32">
        <v>41815.567361111112</v>
      </c>
      <c r="N4" s="5" t="s">
        <v>85</v>
      </c>
      <c r="O4" s="3">
        <v>41808</v>
      </c>
      <c r="P4" s="3">
        <v>41814</v>
      </c>
      <c r="Q4">
        <v>40</v>
      </c>
      <c r="R4" s="5">
        <v>0</v>
      </c>
      <c r="S4">
        <v>0</v>
      </c>
      <c r="T4" s="32">
        <v>41815.567361111112</v>
      </c>
      <c r="X4">
        <v>40</v>
      </c>
      <c r="Y4" s="5" t="b">
        <v>0</v>
      </c>
    </row>
    <row r="5" spans="1:27">
      <c r="A5" s="16">
        <v>4</v>
      </c>
      <c r="C5" s="6">
        <v>14663</v>
      </c>
      <c r="D5" s="5" t="s">
        <v>78</v>
      </c>
      <c r="E5" s="5" t="s">
        <v>79</v>
      </c>
      <c r="G5" s="5" t="s">
        <v>80</v>
      </c>
      <c r="H5" s="5" t="s">
        <v>81</v>
      </c>
      <c r="I5" s="5" t="s">
        <v>45</v>
      </c>
      <c r="J5" s="5" t="s">
        <v>83</v>
      </c>
      <c r="K5" s="5" t="s">
        <v>88</v>
      </c>
      <c r="L5" s="32">
        <v>41815.567361111112</v>
      </c>
      <c r="N5" s="5" t="s">
        <v>85</v>
      </c>
      <c r="O5" s="3">
        <v>41806</v>
      </c>
      <c r="P5" s="3">
        <v>41810</v>
      </c>
      <c r="Q5">
        <v>40</v>
      </c>
      <c r="R5" s="5">
        <v>0</v>
      </c>
      <c r="S5">
        <v>0</v>
      </c>
      <c r="T5" s="32">
        <v>41815.567361111112</v>
      </c>
      <c r="X5">
        <v>40</v>
      </c>
      <c r="Y5" s="5" t="b">
        <v>0</v>
      </c>
    </row>
    <row r="6" spans="1:27">
      <c r="A6" s="16">
        <v>5</v>
      </c>
      <c r="B6" s="6" t="s">
        <v>54</v>
      </c>
      <c r="C6" s="6">
        <v>14664</v>
      </c>
      <c r="D6" s="5" t="s">
        <v>78</v>
      </c>
      <c r="E6" s="5" t="s">
        <v>79</v>
      </c>
      <c r="G6" s="5" t="s">
        <v>80</v>
      </c>
      <c r="H6" s="5" t="s">
        <v>81</v>
      </c>
      <c r="I6" s="5" t="s">
        <v>46</v>
      </c>
      <c r="J6" s="5" t="s">
        <v>83</v>
      </c>
      <c r="K6" s="5" t="s">
        <v>88</v>
      </c>
      <c r="L6" s="32">
        <v>41815.567361111112</v>
      </c>
      <c r="N6" s="5" t="s">
        <v>85</v>
      </c>
      <c r="O6" s="3">
        <v>41799</v>
      </c>
      <c r="P6" s="3">
        <v>41803</v>
      </c>
      <c r="Q6">
        <v>40</v>
      </c>
      <c r="R6" s="5">
        <v>0</v>
      </c>
      <c r="S6">
        <v>0</v>
      </c>
      <c r="T6" s="32">
        <v>41815.567361111112</v>
      </c>
      <c r="X6">
        <v>40</v>
      </c>
      <c r="Y6" s="5" t="b">
        <v>0</v>
      </c>
    </row>
    <row r="7" spans="1:27">
      <c r="A7" s="16">
        <v>6</v>
      </c>
      <c r="B7" s="6" t="s">
        <v>53</v>
      </c>
      <c r="C7" s="6">
        <v>14665</v>
      </c>
      <c r="D7" s="5" t="s">
        <v>78</v>
      </c>
      <c r="E7" s="5" t="s">
        <v>79</v>
      </c>
      <c r="G7" s="5" t="s">
        <v>80</v>
      </c>
      <c r="H7" s="5" t="s">
        <v>81</v>
      </c>
      <c r="I7" s="5" t="s">
        <v>47</v>
      </c>
      <c r="J7" s="5" t="s">
        <v>83</v>
      </c>
      <c r="K7" s="5" t="s">
        <v>88</v>
      </c>
      <c r="L7" s="32">
        <v>41815.567361111112</v>
      </c>
      <c r="N7" s="5" t="s">
        <v>85</v>
      </c>
      <c r="O7" s="3">
        <v>41792</v>
      </c>
      <c r="P7" s="3">
        <v>41796</v>
      </c>
      <c r="Q7">
        <v>40</v>
      </c>
      <c r="R7" s="5">
        <v>0</v>
      </c>
      <c r="S7">
        <v>0</v>
      </c>
      <c r="T7" s="32">
        <v>41815.567361111112</v>
      </c>
      <c r="X7">
        <v>40</v>
      </c>
      <c r="Y7" s="5" t="b">
        <v>0</v>
      </c>
    </row>
    <row r="8" spans="1:27">
      <c r="A8" s="16">
        <v>7</v>
      </c>
      <c r="C8" s="6">
        <v>14666</v>
      </c>
      <c r="D8" s="5" t="s">
        <v>78</v>
      </c>
      <c r="E8" s="5" t="s">
        <v>79</v>
      </c>
      <c r="G8" s="5" t="s">
        <v>80</v>
      </c>
      <c r="H8" s="5" t="s">
        <v>81</v>
      </c>
      <c r="I8" s="5" t="s">
        <v>48</v>
      </c>
      <c r="J8" s="5" t="s">
        <v>83</v>
      </c>
      <c r="K8" s="5" t="s">
        <v>89</v>
      </c>
      <c r="L8" s="32">
        <v>41815.567361111112</v>
      </c>
      <c r="N8" s="5" t="s">
        <v>85</v>
      </c>
      <c r="O8" s="3">
        <v>41792</v>
      </c>
      <c r="P8" s="3">
        <v>41796</v>
      </c>
      <c r="Q8">
        <v>40</v>
      </c>
      <c r="R8" s="5">
        <v>0</v>
      </c>
      <c r="S8">
        <v>0</v>
      </c>
      <c r="T8" s="32">
        <v>41815.567361111112</v>
      </c>
      <c r="X8">
        <v>40</v>
      </c>
      <c r="Y8" s="5" t="b">
        <v>0</v>
      </c>
    </row>
    <row r="9" spans="1:27">
      <c r="A9" s="16">
        <v>8</v>
      </c>
      <c r="C9" s="6">
        <v>14667</v>
      </c>
      <c r="D9" s="5" t="s">
        <v>78</v>
      </c>
      <c r="E9" s="5" t="s">
        <v>79</v>
      </c>
      <c r="G9" s="5" t="s">
        <v>80</v>
      </c>
      <c r="H9" s="5" t="s">
        <v>81</v>
      </c>
      <c r="I9" s="5" t="s">
        <v>49</v>
      </c>
      <c r="J9" s="5" t="s">
        <v>83</v>
      </c>
      <c r="K9" s="5" t="s">
        <v>89</v>
      </c>
      <c r="L9" s="32">
        <v>41815.567361111112</v>
      </c>
      <c r="N9" s="5" t="s">
        <v>85</v>
      </c>
      <c r="O9" s="3">
        <v>41799</v>
      </c>
      <c r="P9" s="3">
        <v>41803</v>
      </c>
      <c r="Q9">
        <v>40</v>
      </c>
      <c r="R9" s="5">
        <v>0</v>
      </c>
      <c r="S9">
        <v>0</v>
      </c>
      <c r="T9" s="32">
        <v>41815.567361111112</v>
      </c>
      <c r="X9">
        <v>40</v>
      </c>
      <c r="Y9" s="5" t="b">
        <v>0</v>
      </c>
    </row>
    <row r="10" spans="1:27">
      <c r="A10" s="16">
        <v>9</v>
      </c>
      <c r="C10" s="6">
        <v>14668</v>
      </c>
      <c r="D10" s="5" t="s">
        <v>78</v>
      </c>
      <c r="E10" s="5" t="s">
        <v>79</v>
      </c>
      <c r="G10" s="5" t="s">
        <v>80</v>
      </c>
      <c r="H10" s="5" t="s">
        <v>81</v>
      </c>
      <c r="I10" s="5" t="s">
        <v>50</v>
      </c>
      <c r="J10" s="5" t="s">
        <v>83</v>
      </c>
      <c r="K10" s="5" t="s">
        <v>89</v>
      </c>
      <c r="L10" s="32">
        <v>41815.567361111112</v>
      </c>
      <c r="N10" s="5" t="s">
        <v>85</v>
      </c>
      <c r="O10" s="3">
        <v>41806</v>
      </c>
      <c r="P10" s="3">
        <v>41810</v>
      </c>
      <c r="Q10">
        <v>40</v>
      </c>
      <c r="R10" s="5">
        <v>0</v>
      </c>
      <c r="S10">
        <v>0</v>
      </c>
      <c r="T10" s="32">
        <v>41815.567361111112</v>
      </c>
      <c r="X10">
        <v>40</v>
      </c>
      <c r="Y10" s="5" t="b">
        <v>0</v>
      </c>
    </row>
    <row r="11" spans="1:27">
      <c r="A11" s="16">
        <v>10</v>
      </c>
      <c r="C11" s="6">
        <v>14669</v>
      </c>
      <c r="D11" s="5" t="s">
        <v>78</v>
      </c>
      <c r="E11" s="5" t="s">
        <v>79</v>
      </c>
      <c r="G11" s="5" t="s">
        <v>80</v>
      </c>
      <c r="H11" s="5" t="s">
        <v>81</v>
      </c>
      <c r="I11" s="5" t="s">
        <v>90</v>
      </c>
      <c r="J11" s="5" t="s">
        <v>83</v>
      </c>
      <c r="K11" s="5" t="s">
        <v>91</v>
      </c>
      <c r="L11" s="32">
        <v>41815.567361111112</v>
      </c>
      <c r="N11" s="5" t="s">
        <v>92</v>
      </c>
      <c r="O11" s="3">
        <v>41792</v>
      </c>
      <c r="P11" s="3">
        <v>41800</v>
      </c>
      <c r="Q11">
        <v>50</v>
      </c>
      <c r="R11" s="5">
        <v>0</v>
      </c>
      <c r="S11">
        <v>0</v>
      </c>
      <c r="T11" s="32">
        <v>41815.567361111112</v>
      </c>
      <c r="X11">
        <v>40</v>
      </c>
      <c r="Y11" s="5" t="b">
        <v>0</v>
      </c>
    </row>
    <row r="12" spans="1:27">
      <c r="A12" s="16">
        <v>11</v>
      </c>
      <c r="C12" s="6">
        <v>14670</v>
      </c>
      <c r="D12" s="5" t="s">
        <v>78</v>
      </c>
      <c r="E12" s="5" t="s">
        <v>79</v>
      </c>
      <c r="G12" s="5" t="s">
        <v>80</v>
      </c>
      <c r="H12" s="5" t="s">
        <v>81</v>
      </c>
      <c r="I12" s="5" t="s">
        <v>51</v>
      </c>
      <c r="J12" s="5" t="s">
        <v>83</v>
      </c>
      <c r="K12" s="5" t="s">
        <v>91</v>
      </c>
      <c r="L12" s="32">
        <v>41815.567361111112</v>
      </c>
      <c r="N12" s="5" t="s">
        <v>92</v>
      </c>
      <c r="O12" s="3">
        <v>41800</v>
      </c>
      <c r="P12" s="3">
        <v>41807</v>
      </c>
      <c r="Q12">
        <v>40</v>
      </c>
      <c r="R12" s="5">
        <v>0</v>
      </c>
      <c r="S12">
        <v>0</v>
      </c>
      <c r="T12" s="32">
        <v>41815.567361111112</v>
      </c>
      <c r="X12">
        <v>40</v>
      </c>
      <c r="Y12" s="5" t="b">
        <v>0</v>
      </c>
    </row>
    <row r="13" spans="1:27">
      <c r="A13" s="16">
        <v>12</v>
      </c>
      <c r="C13" s="6">
        <v>14671</v>
      </c>
      <c r="D13" s="5" t="s">
        <v>78</v>
      </c>
      <c r="E13" s="5" t="s">
        <v>79</v>
      </c>
      <c r="G13" s="5" t="s">
        <v>80</v>
      </c>
      <c r="H13" s="5" t="s">
        <v>81</v>
      </c>
      <c r="I13" s="5" t="s">
        <v>52</v>
      </c>
      <c r="J13" s="5" t="s">
        <v>83</v>
      </c>
      <c r="K13" s="5" t="s">
        <v>91</v>
      </c>
      <c r="L13" s="32">
        <v>41815.567361111112</v>
      </c>
      <c r="N13" s="5" t="s">
        <v>92</v>
      </c>
      <c r="O13" s="3">
        <v>41807</v>
      </c>
      <c r="P13" s="3">
        <v>41815</v>
      </c>
      <c r="Q13">
        <v>50</v>
      </c>
      <c r="R13" s="5">
        <v>0</v>
      </c>
      <c r="S13">
        <v>0</v>
      </c>
      <c r="T13" s="32">
        <v>41815.567361111112</v>
      </c>
      <c r="X13">
        <v>40</v>
      </c>
      <c r="Y13" s="5" t="b">
        <v>0</v>
      </c>
    </row>
  </sheetData>
  <autoFilter ref="A1:AA13"/>
  <sortState ref="A2:AA13">
    <sortCondition ref="A2"/>
  </sortState>
  <phoneticPr fontId="1"/>
  <pageMargins left="0.19685039370078741" right="0.19685039370078741" top="0.59055118110236227" bottom="0.59055118110236227" header="0.31496062992125984" footer="0.31496062992125984"/>
  <pageSetup paperSize="9" scale="62" fitToHeight="0" orientation="landscape" verticalDpi="0" r:id="rId1"/>
  <headerFooter alignWithMargins="0">
    <oddHeader>&amp;A</oddHeader>
    <oddFooter>&amp;P / &amp;N ページ</oddFooter>
  </headerFooter>
  <legacyDrawing r:id="rId2"/>
  <controls>
    <control shapeId="1041" r:id="rId3" name="btnMakeCsv"/>
    <control shapeId="1049" r:id="rId4" name="btnCalcDate"/>
  </controls>
</worksheet>
</file>

<file path=xl/worksheets/sheet2.xml><?xml version="1.0" encoding="utf-8"?>
<worksheet xmlns="http://schemas.openxmlformats.org/spreadsheetml/2006/main" xmlns:r="http://schemas.openxmlformats.org/officeDocument/2006/relationships">
  <sheetPr codeName="Sheet3"/>
  <dimension ref="A1:G16"/>
  <sheetViews>
    <sheetView zoomScale="70" workbookViewId="0">
      <pane xSplit="3" ySplit="4" topLeftCell="D5" activePane="bottomRight" state="frozen"/>
      <selection pane="topRight" activeCell="D1" sqref="D1"/>
      <selection pane="bottomLeft" activeCell="A4" sqref="A4"/>
      <selection pane="bottomRight" activeCell="G17" sqref="G17"/>
    </sheetView>
  </sheetViews>
  <sheetFormatPr defaultRowHeight="13.5"/>
  <cols>
    <col min="1" max="1" width="5.875" style="16" bestFit="1" customWidth="1"/>
    <col min="2" max="2" width="30.625" style="5" customWidth="1"/>
    <col min="3" max="3" width="9.375" style="5" bestFit="1" customWidth="1"/>
    <col min="4" max="7" width="13.875" bestFit="1" customWidth="1"/>
  </cols>
  <sheetData>
    <row r="1" spans="1:7" ht="27" customHeight="1">
      <c r="A1" s="15" t="s">
        <v>15</v>
      </c>
      <c r="B1" s="4" t="s">
        <v>0</v>
      </c>
      <c r="C1" s="4" t="s">
        <v>2</v>
      </c>
      <c r="D1" s="23">
        <v>41792</v>
      </c>
      <c r="E1" s="23">
        <v>41796</v>
      </c>
      <c r="F1" s="23">
        <v>41803</v>
      </c>
      <c r="G1" s="23">
        <v>41808</v>
      </c>
    </row>
    <row r="2" spans="1:7" s="36" customFormat="1" ht="13.5" customHeight="1">
      <c r="A2" s="42" t="s">
        <v>101</v>
      </c>
      <c r="B2" s="42"/>
      <c r="C2" s="42"/>
      <c r="D2" s="35">
        <v>32</v>
      </c>
      <c r="E2" s="35">
        <v>160</v>
      </c>
      <c r="F2" s="35">
        <v>322</v>
      </c>
      <c r="G2" s="35">
        <v>418</v>
      </c>
    </row>
    <row r="3" spans="1:7" s="36" customFormat="1" ht="13.5" customHeight="1">
      <c r="A3" s="41" t="s">
        <v>103</v>
      </c>
      <c r="B3" s="41"/>
      <c r="C3" s="41"/>
      <c r="D3" s="35">
        <v>448</v>
      </c>
      <c r="E3" s="35">
        <v>328</v>
      </c>
      <c r="F3" s="35">
        <v>174</v>
      </c>
      <c r="G3" s="35">
        <v>98</v>
      </c>
    </row>
    <row r="4" spans="1:7" s="36" customFormat="1" ht="13.5" customHeight="1">
      <c r="A4" s="41" t="s">
        <v>100</v>
      </c>
      <c r="B4" s="41"/>
      <c r="C4" s="41"/>
      <c r="D4" s="35">
        <v>480</v>
      </c>
      <c r="E4" s="35">
        <v>488</v>
      </c>
      <c r="F4" s="35">
        <v>496</v>
      </c>
      <c r="G4" s="35">
        <v>516</v>
      </c>
    </row>
    <row r="5" spans="1:7">
      <c r="A5" s="16">
        <v>1</v>
      </c>
      <c r="B5" s="5" t="s">
        <v>82</v>
      </c>
      <c r="C5" s="5" t="s">
        <v>84</v>
      </c>
      <c r="D5">
        <v>40</v>
      </c>
      <c r="E5">
        <v>48</v>
      </c>
      <c r="F5">
        <v>48</v>
      </c>
      <c r="G5">
        <v>48</v>
      </c>
    </row>
    <row r="6" spans="1:7">
      <c r="A6" s="16">
        <v>2</v>
      </c>
      <c r="B6" s="5" t="s">
        <v>86</v>
      </c>
      <c r="C6" s="5" t="s">
        <v>84</v>
      </c>
      <c r="D6">
        <v>40</v>
      </c>
      <c r="E6">
        <v>40</v>
      </c>
      <c r="F6">
        <v>48</v>
      </c>
      <c r="G6">
        <v>48</v>
      </c>
    </row>
    <row r="7" spans="1:7">
      <c r="A7" s="16">
        <v>3</v>
      </c>
      <c r="B7" s="5" t="s">
        <v>87</v>
      </c>
      <c r="C7" s="5" t="s">
        <v>84</v>
      </c>
      <c r="D7">
        <v>40</v>
      </c>
      <c r="E7">
        <v>40</v>
      </c>
      <c r="F7">
        <v>40</v>
      </c>
      <c r="G7">
        <v>40</v>
      </c>
    </row>
    <row r="8" spans="1:7">
      <c r="A8" s="16">
        <v>4</v>
      </c>
      <c r="B8" s="5" t="s">
        <v>45</v>
      </c>
      <c r="C8" s="5" t="s">
        <v>88</v>
      </c>
      <c r="D8">
        <v>40</v>
      </c>
      <c r="E8">
        <v>40</v>
      </c>
      <c r="F8">
        <v>40</v>
      </c>
      <c r="G8">
        <v>40</v>
      </c>
    </row>
    <row r="9" spans="1:7">
      <c r="A9" s="16">
        <v>5</v>
      </c>
      <c r="B9" s="5" t="s">
        <v>46</v>
      </c>
      <c r="C9" s="5" t="s">
        <v>88</v>
      </c>
      <c r="D9">
        <v>40</v>
      </c>
      <c r="E9">
        <v>40</v>
      </c>
      <c r="F9">
        <v>40</v>
      </c>
      <c r="G9">
        <v>40</v>
      </c>
    </row>
    <row r="10" spans="1:7">
      <c r="A10" s="16">
        <v>6</v>
      </c>
      <c r="B10" s="5" t="s">
        <v>47</v>
      </c>
      <c r="C10" s="5" t="s">
        <v>88</v>
      </c>
      <c r="D10">
        <v>40</v>
      </c>
      <c r="E10">
        <v>40</v>
      </c>
      <c r="F10">
        <v>40</v>
      </c>
      <c r="G10">
        <v>40</v>
      </c>
    </row>
    <row r="11" spans="1:7">
      <c r="A11" s="16">
        <v>7</v>
      </c>
      <c r="B11" s="5" t="s">
        <v>48</v>
      </c>
      <c r="C11" s="5" t="s">
        <v>89</v>
      </c>
      <c r="D11">
        <v>40</v>
      </c>
      <c r="E11">
        <v>40</v>
      </c>
      <c r="F11">
        <v>40</v>
      </c>
      <c r="G11">
        <v>40</v>
      </c>
    </row>
    <row r="12" spans="1:7">
      <c r="A12" s="16">
        <v>8</v>
      </c>
      <c r="B12" s="5" t="s">
        <v>49</v>
      </c>
      <c r="C12" s="5" t="s">
        <v>89</v>
      </c>
      <c r="D12">
        <v>40</v>
      </c>
      <c r="E12">
        <v>40</v>
      </c>
      <c r="F12">
        <v>40</v>
      </c>
      <c r="G12">
        <v>40</v>
      </c>
    </row>
    <row r="13" spans="1:7">
      <c r="A13" s="16">
        <v>9</v>
      </c>
      <c r="B13" s="5" t="s">
        <v>50</v>
      </c>
      <c r="C13" s="5" t="s">
        <v>89</v>
      </c>
      <c r="D13">
        <v>40</v>
      </c>
      <c r="E13">
        <v>40</v>
      </c>
      <c r="F13">
        <v>40</v>
      </c>
      <c r="G13">
        <v>40</v>
      </c>
    </row>
    <row r="14" spans="1:7">
      <c r="A14" s="16">
        <v>10</v>
      </c>
      <c r="B14" s="5" t="s">
        <v>90</v>
      </c>
      <c r="C14" s="5" t="s">
        <v>91</v>
      </c>
      <c r="D14">
        <v>40</v>
      </c>
      <c r="E14">
        <v>40</v>
      </c>
      <c r="F14">
        <v>40</v>
      </c>
      <c r="G14">
        <v>50</v>
      </c>
    </row>
    <row r="15" spans="1:7">
      <c r="A15" s="16">
        <v>11</v>
      </c>
      <c r="B15" s="5" t="s">
        <v>51</v>
      </c>
      <c r="C15" s="5" t="s">
        <v>91</v>
      </c>
      <c r="D15">
        <v>40</v>
      </c>
      <c r="E15">
        <v>40</v>
      </c>
      <c r="F15">
        <v>40</v>
      </c>
      <c r="G15">
        <v>40</v>
      </c>
    </row>
    <row r="16" spans="1:7">
      <c r="A16" s="16">
        <v>12</v>
      </c>
      <c r="B16" s="5" t="s">
        <v>52</v>
      </c>
      <c r="C16" s="5" t="s">
        <v>91</v>
      </c>
      <c r="D16">
        <v>40</v>
      </c>
      <c r="E16">
        <v>40</v>
      </c>
      <c r="F16">
        <v>40</v>
      </c>
      <c r="G16">
        <v>50</v>
      </c>
    </row>
  </sheetData>
  <autoFilter ref="A1:G65536"/>
  <mergeCells count="3">
    <mergeCell ref="A3:C3"/>
    <mergeCell ref="A4:C4"/>
    <mergeCell ref="A2:C2"/>
  </mergeCells>
  <phoneticPr fontId="1"/>
  <pageMargins left="0.19685039370078741" right="0.19685039370078741" top="0.59055118110236227" bottom="0.59055118110236227" header="0.31496062992125984" footer="0.31496062992125984"/>
  <pageSetup paperSize="9" orientation="portrait" verticalDpi="0" r:id="rId1"/>
  <headerFooter alignWithMargins="0">
    <oddHeader>&amp;A</oddHeader>
    <oddFooter>&amp;P / &amp;N ページ</oddFooter>
  </headerFooter>
</worksheet>
</file>

<file path=xl/worksheets/sheet3.xml><?xml version="1.0" encoding="utf-8"?>
<worksheet xmlns="http://schemas.openxmlformats.org/spreadsheetml/2006/main" xmlns:r="http://schemas.openxmlformats.org/officeDocument/2006/relationships">
  <sheetPr codeName="Sheet2"/>
  <dimension ref="B1:S54"/>
  <sheetViews>
    <sheetView zoomScale="85" workbookViewId="0">
      <selection activeCell="S10" sqref="S10"/>
    </sheetView>
  </sheetViews>
  <sheetFormatPr defaultRowHeight="13.5"/>
  <cols>
    <col min="1" max="1" width="2.625" customWidth="1"/>
    <col min="2" max="2" width="9.5" style="10" customWidth="1"/>
    <col min="3" max="3" width="9.5" style="9" customWidth="1"/>
    <col min="4" max="4" width="2.625" customWidth="1"/>
    <col min="5" max="5" width="11.625" style="9" bestFit="1" customWidth="1"/>
    <col min="6" max="6" width="13" bestFit="1" customWidth="1"/>
    <col min="7" max="7" width="2.625" customWidth="1"/>
    <col min="8" max="9" width="15.625" hidden="1" customWidth="1"/>
    <col min="10" max="10" width="2.625" hidden="1" customWidth="1"/>
    <col min="11" max="11" width="11.625" customWidth="1"/>
    <col min="12" max="12" width="11.625" style="3" bestFit="1" customWidth="1"/>
    <col min="17" max="19" width="9" style="19"/>
    <col min="20" max="20" width="2.625" customWidth="1"/>
  </cols>
  <sheetData>
    <row r="1" spans="2:19">
      <c r="B1" s="14" t="s">
        <v>107</v>
      </c>
      <c r="E1" t="s">
        <v>36</v>
      </c>
    </row>
    <row r="2" spans="2:19">
      <c r="E2" s="8" t="s">
        <v>35</v>
      </c>
      <c r="H2" s="34" t="s">
        <v>76</v>
      </c>
      <c r="I2" s="25">
        <v>41808</v>
      </c>
      <c r="K2" t="s">
        <v>76</v>
      </c>
      <c r="L2" s="25">
        <v>41808</v>
      </c>
    </row>
    <row r="3" spans="2:19">
      <c r="B3" s="44" t="s">
        <v>60</v>
      </c>
      <c r="C3" s="45"/>
      <c r="E3" s="44" t="s">
        <v>58</v>
      </c>
      <c r="F3" s="45"/>
      <c r="H3" s="50" t="s">
        <v>99</v>
      </c>
      <c r="I3" s="50"/>
      <c r="K3" s="17" t="s">
        <v>2</v>
      </c>
      <c r="L3" s="24" t="s">
        <v>66</v>
      </c>
      <c r="M3" s="18" t="s">
        <v>67</v>
      </c>
      <c r="N3" s="18" t="s">
        <v>105</v>
      </c>
      <c r="O3" s="18" t="s">
        <v>106</v>
      </c>
      <c r="P3" s="18" t="s">
        <v>68</v>
      </c>
      <c r="Q3" s="20" t="s">
        <v>69</v>
      </c>
      <c r="R3" s="20" t="s">
        <v>70</v>
      </c>
      <c r="S3" s="20" t="s">
        <v>71</v>
      </c>
    </row>
    <row r="4" spans="2:19">
      <c r="B4" s="46">
        <v>8</v>
      </c>
      <c r="C4" s="45"/>
      <c r="E4" s="13">
        <v>41640</v>
      </c>
      <c r="F4" s="12" t="s">
        <v>19</v>
      </c>
      <c r="H4" s="12" t="s">
        <v>93</v>
      </c>
      <c r="I4" s="12">
        <f>SUM(予定工数)</f>
        <v>516</v>
      </c>
      <c r="K4" s="12" t="s">
        <v>108</v>
      </c>
      <c r="L4" s="13">
        <v>41814</v>
      </c>
      <c r="M4" s="12">
        <v>120</v>
      </c>
      <c r="N4" s="12">
        <v>104</v>
      </c>
      <c r="O4" s="12">
        <v>32</v>
      </c>
      <c r="P4" s="12">
        <v>136</v>
      </c>
      <c r="Q4" s="21">
        <f>P4/工数１日</f>
        <v>17</v>
      </c>
      <c r="R4" s="21">
        <f>Q4/20</f>
        <v>0.85</v>
      </c>
      <c r="S4" s="21">
        <f>(P4/M4-1)*100</f>
        <v>13.33333333333333</v>
      </c>
    </row>
    <row r="5" spans="2:19">
      <c r="E5" s="13">
        <v>41652</v>
      </c>
      <c r="F5" s="12" t="s">
        <v>20</v>
      </c>
      <c r="H5" s="12" t="s">
        <v>94</v>
      </c>
      <c r="I5" s="12">
        <f>SUMPRODUCT(予定工数*(期日&lt;=進捗報告日))</f>
        <v>346</v>
      </c>
      <c r="K5" s="12" t="s">
        <v>109</v>
      </c>
      <c r="L5" s="40">
        <v>41815</v>
      </c>
      <c r="M5" s="12">
        <v>120</v>
      </c>
      <c r="N5" s="12">
        <v>106</v>
      </c>
      <c r="O5" s="12">
        <v>34</v>
      </c>
      <c r="P5" s="12">
        <v>140</v>
      </c>
      <c r="Q5" s="21">
        <f>P5/工数１日</f>
        <v>17.5</v>
      </c>
      <c r="R5" s="21">
        <f>Q5/20</f>
        <v>0.875</v>
      </c>
      <c r="S5" s="21">
        <f>(P5/M5-1)*100</f>
        <v>16.666666666666675</v>
      </c>
    </row>
    <row r="6" spans="2:19">
      <c r="B6" s="44" t="s">
        <v>55</v>
      </c>
      <c r="C6" s="45"/>
      <c r="E6" s="13">
        <v>41681</v>
      </c>
      <c r="F6" s="12" t="s">
        <v>21</v>
      </c>
      <c r="H6" s="12" t="s">
        <v>95</v>
      </c>
      <c r="I6" s="12">
        <f>SUMPRODUCT(予定工数*(進捗率/100))</f>
        <v>0</v>
      </c>
      <c r="K6" s="12" t="s">
        <v>110</v>
      </c>
      <c r="L6" s="40">
        <v>41810</v>
      </c>
      <c r="M6" s="12">
        <v>120</v>
      </c>
      <c r="N6" s="12">
        <v>104</v>
      </c>
      <c r="O6" s="12">
        <v>16</v>
      </c>
      <c r="P6" s="12">
        <v>120</v>
      </c>
      <c r="Q6" s="21">
        <f>P6/工数１日</f>
        <v>15</v>
      </c>
      <c r="R6" s="21">
        <f>Q6/20</f>
        <v>0.75</v>
      </c>
      <c r="S6" s="21">
        <f>(P6/M6-1)*100</f>
        <v>0</v>
      </c>
    </row>
    <row r="7" spans="2:19" ht="14.25" thickBot="1">
      <c r="B7" s="46">
        <v>2</v>
      </c>
      <c r="C7" s="45"/>
      <c r="E7" s="13">
        <v>41719</v>
      </c>
      <c r="F7" s="12" t="s">
        <v>22</v>
      </c>
      <c r="H7" s="12" t="s">
        <v>96</v>
      </c>
      <c r="I7" s="33">
        <f>I5/I4</f>
        <v>0.6705426356589147</v>
      </c>
      <c r="K7" s="26" t="s">
        <v>111</v>
      </c>
      <c r="L7" s="27">
        <v>41810</v>
      </c>
      <c r="M7" s="26">
        <v>120</v>
      </c>
      <c r="N7" s="26">
        <v>104</v>
      </c>
      <c r="O7" s="26">
        <v>16</v>
      </c>
      <c r="P7" s="26">
        <v>120</v>
      </c>
      <c r="Q7" s="28">
        <f>P7/工数１日</f>
        <v>15</v>
      </c>
      <c r="R7" s="28">
        <f>Q7/20</f>
        <v>0.75</v>
      </c>
      <c r="S7" s="28">
        <f>(P7/M7-1)*100</f>
        <v>0</v>
      </c>
    </row>
    <row r="8" spans="2:19" ht="14.25" thickTop="1">
      <c r="E8" s="13">
        <v>41758</v>
      </c>
      <c r="F8" s="12" t="s">
        <v>23</v>
      </c>
      <c r="H8" s="12" t="s">
        <v>97</v>
      </c>
      <c r="I8" s="33">
        <f>I6/I4</f>
        <v>0</v>
      </c>
      <c r="K8" s="29"/>
      <c r="L8" s="30">
        <v>41815</v>
      </c>
      <c r="M8" s="29">
        <f>SUM(M4:M7)</f>
        <v>480</v>
      </c>
      <c r="N8" s="29">
        <f>SUM(N4:N7)</f>
        <v>418</v>
      </c>
      <c r="O8" s="29">
        <f>SUM(O4:O7)</f>
        <v>98</v>
      </c>
      <c r="P8" s="29">
        <f>SUM(P4:P7)</f>
        <v>516</v>
      </c>
      <c r="Q8" s="22">
        <f>P8/工数１日</f>
        <v>64.5</v>
      </c>
      <c r="R8" s="22">
        <f>Q8/20</f>
        <v>3.2250000000000001</v>
      </c>
      <c r="S8" s="22">
        <f>(P8/M8-1)*100</f>
        <v>7.4999999999999956</v>
      </c>
    </row>
    <row r="9" spans="2:19">
      <c r="B9" s="44" t="s">
        <v>57</v>
      </c>
      <c r="C9" s="45"/>
      <c r="E9" s="13">
        <v>41762</v>
      </c>
      <c r="F9" s="12" t="s">
        <v>24</v>
      </c>
      <c r="H9" s="12" t="s">
        <v>98</v>
      </c>
      <c r="I9" s="33">
        <f>I8-I7</f>
        <v>-0.6705426356589147</v>
      </c>
      <c r="L9"/>
      <c r="Q9"/>
      <c r="R9"/>
      <c r="S9"/>
    </row>
    <row r="10" spans="2:19">
      <c r="B10" s="43"/>
      <c r="C10" s="43"/>
      <c r="E10" s="13">
        <v>41763</v>
      </c>
      <c r="F10" s="12" t="s">
        <v>25</v>
      </c>
      <c r="L10"/>
      <c r="Q10"/>
      <c r="R10"/>
      <c r="S10"/>
    </row>
    <row r="11" spans="2:19">
      <c r="E11" s="13">
        <v>41764</v>
      </c>
      <c r="F11" s="12" t="s">
        <v>26</v>
      </c>
      <c r="L11"/>
      <c r="Q11"/>
      <c r="R11"/>
      <c r="S11"/>
    </row>
    <row r="12" spans="2:19">
      <c r="B12" s="47" t="s">
        <v>61</v>
      </c>
      <c r="C12" s="47"/>
      <c r="E12" s="13">
        <v>41765</v>
      </c>
      <c r="F12" s="12" t="s">
        <v>34</v>
      </c>
      <c r="L12"/>
      <c r="Q12"/>
      <c r="R12"/>
      <c r="S12"/>
    </row>
    <row r="13" spans="2:19">
      <c r="B13" s="11" t="s">
        <v>39</v>
      </c>
      <c r="C13" s="11"/>
      <c r="E13" s="13">
        <v>41841</v>
      </c>
      <c r="F13" s="12" t="s">
        <v>27</v>
      </c>
      <c r="L13"/>
      <c r="Q13"/>
      <c r="R13"/>
      <c r="S13"/>
    </row>
    <row r="14" spans="2:19">
      <c r="B14" s="11" t="s">
        <v>40</v>
      </c>
      <c r="C14" s="11"/>
      <c r="E14" s="13">
        <v>41897</v>
      </c>
      <c r="F14" s="12" t="s">
        <v>28</v>
      </c>
      <c r="L14"/>
      <c r="Q14"/>
      <c r="R14"/>
      <c r="S14"/>
    </row>
    <row r="15" spans="2:19">
      <c r="B15" s="11" t="s">
        <v>41</v>
      </c>
      <c r="C15" s="11"/>
      <c r="E15" s="13">
        <v>41905</v>
      </c>
      <c r="F15" s="12" t="s">
        <v>29</v>
      </c>
      <c r="L15"/>
      <c r="Q15"/>
      <c r="R15"/>
      <c r="S15"/>
    </row>
    <row r="16" spans="2:19">
      <c r="B16" s="11" t="s">
        <v>42</v>
      </c>
      <c r="C16" s="11"/>
      <c r="E16" s="13">
        <v>41925</v>
      </c>
      <c r="F16" s="12" t="s">
        <v>30</v>
      </c>
      <c r="L16"/>
      <c r="Q16"/>
      <c r="R16"/>
      <c r="S16"/>
    </row>
    <row r="17" spans="2:19">
      <c r="B17" s="11" t="s">
        <v>43</v>
      </c>
      <c r="C17" s="11"/>
      <c r="E17" s="13">
        <v>41946</v>
      </c>
      <c r="F17" s="12" t="s">
        <v>31</v>
      </c>
      <c r="L17"/>
      <c r="Q17"/>
      <c r="R17"/>
      <c r="S17"/>
    </row>
    <row r="18" spans="2:19">
      <c r="B18" s="11" t="s">
        <v>38</v>
      </c>
      <c r="C18" s="11" t="s">
        <v>56</v>
      </c>
      <c r="E18" s="13">
        <v>41966</v>
      </c>
      <c r="F18" s="12" t="s">
        <v>32</v>
      </c>
      <c r="L18"/>
      <c r="Q18"/>
      <c r="R18"/>
      <c r="S18"/>
    </row>
    <row r="19" spans="2:19">
      <c r="B19" s="11" t="s">
        <v>37</v>
      </c>
      <c r="C19" s="11" t="s">
        <v>44</v>
      </c>
      <c r="E19" s="13">
        <v>41967</v>
      </c>
      <c r="F19" s="12" t="s">
        <v>34</v>
      </c>
      <c r="L19"/>
      <c r="Q19"/>
      <c r="R19"/>
      <c r="S19"/>
    </row>
    <row r="20" spans="2:19">
      <c r="E20" s="13">
        <v>41996</v>
      </c>
      <c r="F20" s="12" t="s">
        <v>33</v>
      </c>
      <c r="L20"/>
      <c r="Q20"/>
      <c r="R20"/>
      <c r="S20"/>
    </row>
    <row r="21" spans="2:19">
      <c r="B21" s="44" t="s">
        <v>62</v>
      </c>
      <c r="C21" s="45"/>
      <c r="E21" s="13">
        <v>42005</v>
      </c>
      <c r="F21" s="12" t="s">
        <v>19</v>
      </c>
      <c r="L21"/>
      <c r="Q21"/>
      <c r="R21"/>
      <c r="S21"/>
    </row>
    <row r="22" spans="2:19">
      <c r="B22" s="48"/>
      <c r="C22" s="49"/>
      <c r="E22" s="13">
        <v>42016</v>
      </c>
      <c r="F22" s="12" t="s">
        <v>20</v>
      </c>
      <c r="L22"/>
      <c r="Q22"/>
      <c r="R22"/>
      <c r="S22"/>
    </row>
    <row r="23" spans="2:19">
      <c r="B23" s="48"/>
      <c r="C23" s="49"/>
      <c r="E23" s="13">
        <v>42046</v>
      </c>
      <c r="F23" s="12" t="s">
        <v>21</v>
      </c>
      <c r="L23"/>
      <c r="Q23"/>
      <c r="R23"/>
      <c r="S23"/>
    </row>
    <row r="24" spans="2:19">
      <c r="B24" s="48"/>
      <c r="C24" s="49"/>
      <c r="E24" s="13">
        <v>42084</v>
      </c>
      <c r="F24" s="12" t="s">
        <v>22</v>
      </c>
      <c r="L24"/>
      <c r="Q24"/>
      <c r="R24"/>
      <c r="S24"/>
    </row>
    <row r="25" spans="2:19">
      <c r="B25" s="48"/>
      <c r="C25" s="49"/>
      <c r="E25" s="13">
        <v>42123</v>
      </c>
      <c r="F25" s="12" t="s">
        <v>23</v>
      </c>
      <c r="L25"/>
      <c r="Q25"/>
      <c r="R25"/>
      <c r="S25"/>
    </row>
    <row r="26" spans="2:19">
      <c r="B26" s="48"/>
      <c r="C26" s="49"/>
      <c r="E26" s="13">
        <v>42127</v>
      </c>
      <c r="F26" s="12" t="s">
        <v>24</v>
      </c>
      <c r="L26"/>
      <c r="Q26"/>
      <c r="R26"/>
      <c r="S26"/>
    </row>
    <row r="27" spans="2:19">
      <c r="B27" s="48"/>
      <c r="C27" s="49"/>
      <c r="E27" s="13">
        <v>42128</v>
      </c>
      <c r="F27" s="12" t="s">
        <v>25</v>
      </c>
      <c r="L27"/>
      <c r="Q27"/>
      <c r="R27"/>
      <c r="S27"/>
    </row>
    <row r="28" spans="2:19">
      <c r="B28" s="48"/>
      <c r="C28" s="49"/>
      <c r="E28" s="13">
        <v>42129</v>
      </c>
      <c r="F28" s="12" t="s">
        <v>26</v>
      </c>
      <c r="L28"/>
      <c r="Q28"/>
      <c r="R28"/>
      <c r="S28"/>
    </row>
    <row r="29" spans="2:19">
      <c r="B29" s="48"/>
      <c r="C29" s="49"/>
      <c r="E29" s="13">
        <v>42130</v>
      </c>
      <c r="F29" s="12" t="s">
        <v>34</v>
      </c>
      <c r="L29"/>
      <c r="Q29"/>
      <c r="R29"/>
      <c r="S29"/>
    </row>
    <row r="30" spans="2:19">
      <c r="B30" s="51"/>
      <c r="C30" s="52"/>
      <c r="E30" s="13">
        <v>42205</v>
      </c>
      <c r="F30" s="12" t="s">
        <v>27</v>
      </c>
      <c r="L30"/>
      <c r="Q30"/>
      <c r="R30"/>
      <c r="S30"/>
    </row>
    <row r="31" spans="2:19">
      <c r="B31" s="44" t="s">
        <v>59</v>
      </c>
      <c r="C31" s="45"/>
      <c r="E31" s="13">
        <v>42268</v>
      </c>
      <c r="F31" s="12" t="s">
        <v>28</v>
      </c>
      <c r="L31"/>
      <c r="Q31"/>
      <c r="R31"/>
      <c r="S31"/>
    </row>
    <row r="32" spans="2:19">
      <c r="B32" s="43"/>
      <c r="C32" s="43"/>
      <c r="E32" s="13">
        <v>42269</v>
      </c>
      <c r="F32" s="12" t="s">
        <v>72</v>
      </c>
      <c r="L32"/>
      <c r="Q32"/>
      <c r="R32"/>
      <c r="S32"/>
    </row>
    <row r="33" spans="2:19">
      <c r="B33" s="43"/>
      <c r="C33" s="43"/>
      <c r="E33" s="13">
        <v>42270</v>
      </c>
      <c r="F33" s="12" t="s">
        <v>29</v>
      </c>
      <c r="L33"/>
      <c r="Q33"/>
      <c r="R33"/>
      <c r="S33"/>
    </row>
    <row r="34" spans="2:19">
      <c r="B34" s="43"/>
      <c r="C34" s="43"/>
      <c r="E34" s="13">
        <v>42289</v>
      </c>
      <c r="F34" s="12" t="s">
        <v>30</v>
      </c>
      <c r="L34"/>
      <c r="Q34"/>
      <c r="R34"/>
      <c r="S34"/>
    </row>
    <row r="35" spans="2:19">
      <c r="B35" s="43"/>
      <c r="C35" s="43"/>
      <c r="E35" s="13">
        <v>42311</v>
      </c>
      <c r="F35" s="12" t="s">
        <v>31</v>
      </c>
      <c r="L35"/>
      <c r="Q35"/>
      <c r="R35"/>
      <c r="S35"/>
    </row>
    <row r="36" spans="2:19">
      <c r="B36" s="43"/>
      <c r="C36" s="43"/>
      <c r="E36" s="13">
        <v>42331</v>
      </c>
      <c r="F36" s="12" t="s">
        <v>32</v>
      </c>
      <c r="L36"/>
      <c r="Q36"/>
      <c r="R36"/>
      <c r="S36"/>
    </row>
    <row r="37" spans="2:19">
      <c r="B37" s="43"/>
      <c r="C37" s="43"/>
      <c r="E37" s="13">
        <v>42361</v>
      </c>
      <c r="F37" s="12" t="s">
        <v>33</v>
      </c>
      <c r="L37"/>
      <c r="Q37"/>
      <c r="R37"/>
      <c r="S37"/>
    </row>
    <row r="38" spans="2:19">
      <c r="B38" s="43"/>
      <c r="C38" s="43"/>
      <c r="E38" s="13"/>
      <c r="F38" s="12"/>
      <c r="L38"/>
      <c r="Q38"/>
      <c r="R38"/>
      <c r="S38"/>
    </row>
    <row r="39" spans="2:19">
      <c r="B39" s="43"/>
      <c r="C39" s="43"/>
      <c r="E39" s="13"/>
      <c r="F39" s="12"/>
      <c r="L39"/>
      <c r="Q39"/>
      <c r="R39"/>
      <c r="S39"/>
    </row>
    <row r="40" spans="2:19">
      <c r="B40" s="43"/>
      <c r="C40" s="43"/>
      <c r="E40" s="13"/>
      <c r="F40" s="12"/>
      <c r="L40"/>
      <c r="Q40"/>
      <c r="R40"/>
      <c r="S40"/>
    </row>
    <row r="41" spans="2:19">
      <c r="L41"/>
      <c r="Q41"/>
      <c r="R41"/>
      <c r="S41"/>
    </row>
    <row r="42" spans="2:19">
      <c r="B42" s="44" t="s">
        <v>77</v>
      </c>
      <c r="C42" s="45"/>
      <c r="L42"/>
      <c r="Q42"/>
      <c r="R42"/>
      <c r="S42"/>
    </row>
    <row r="43" spans="2:19">
      <c r="B43" s="46" t="s">
        <v>102</v>
      </c>
      <c r="C43" s="45"/>
      <c r="L43"/>
      <c r="Q43"/>
      <c r="R43"/>
      <c r="S43"/>
    </row>
    <row r="44" spans="2:19">
      <c r="L44"/>
      <c r="Q44"/>
      <c r="R44"/>
      <c r="S44"/>
    </row>
    <row r="45" spans="2:19">
      <c r="L45"/>
      <c r="Q45"/>
      <c r="R45"/>
      <c r="S45"/>
    </row>
    <row r="46" spans="2:19">
      <c r="L46"/>
      <c r="Q46"/>
      <c r="R46"/>
      <c r="S46"/>
    </row>
    <row r="47" spans="2:19">
      <c r="L47"/>
      <c r="Q47"/>
      <c r="R47"/>
      <c r="S47"/>
    </row>
    <row r="48" spans="2:19">
      <c r="L48"/>
      <c r="Q48"/>
      <c r="R48"/>
      <c r="S48"/>
    </row>
    <row r="49" spans="12:19">
      <c r="L49"/>
      <c r="Q49"/>
      <c r="R49"/>
      <c r="S49"/>
    </row>
    <row r="50" spans="12:19">
      <c r="L50"/>
      <c r="Q50"/>
      <c r="R50"/>
      <c r="S50"/>
    </row>
    <row r="51" spans="12:19">
      <c r="L51"/>
      <c r="Q51"/>
      <c r="R51"/>
      <c r="S51"/>
    </row>
    <row r="52" spans="12:19">
      <c r="L52"/>
      <c r="Q52"/>
      <c r="R52"/>
      <c r="S52"/>
    </row>
    <row r="53" spans="12:19">
      <c r="L53"/>
      <c r="Q53"/>
      <c r="R53"/>
      <c r="S53"/>
    </row>
    <row r="54" spans="12:19">
      <c r="L54"/>
      <c r="Q54"/>
      <c r="R54"/>
      <c r="S54"/>
    </row>
  </sheetData>
  <mergeCells count="31">
    <mergeCell ref="H3:I3"/>
    <mergeCell ref="B39:C39"/>
    <mergeCell ref="B40:C40"/>
    <mergeCell ref="B37:C37"/>
    <mergeCell ref="B29:C29"/>
    <mergeCell ref="B30:C30"/>
    <mergeCell ref="B31:C31"/>
    <mergeCell ref="B32:C32"/>
    <mergeCell ref="B34:C34"/>
    <mergeCell ref="B35:C35"/>
    <mergeCell ref="B42:C42"/>
    <mergeCell ref="B43:C43"/>
    <mergeCell ref="B12:C12"/>
    <mergeCell ref="B9:C9"/>
    <mergeCell ref="B10:C10"/>
    <mergeCell ref="B24:C24"/>
    <mergeCell ref="B36:C36"/>
    <mergeCell ref="B27:C27"/>
    <mergeCell ref="B28:C28"/>
    <mergeCell ref="B21:C21"/>
    <mergeCell ref="B23:C23"/>
    <mergeCell ref="B22:C22"/>
    <mergeCell ref="B25:C25"/>
    <mergeCell ref="B26:C26"/>
    <mergeCell ref="B38:C38"/>
    <mergeCell ref="B33:C33"/>
    <mergeCell ref="E3:F3"/>
    <mergeCell ref="B3:C3"/>
    <mergeCell ref="B4:C4"/>
    <mergeCell ref="B6:C6"/>
    <mergeCell ref="B7:C7"/>
  </mergeCells>
  <phoneticPr fontId="1"/>
  <dataValidations count="1">
    <dataValidation type="list" allowBlank="1" showInputMessage="1" showErrorMessage="1" sqref="B43:C43">
      <formula1>"作成する,作成しない"</formula1>
    </dataValidation>
  </dataValidations>
  <hyperlinks>
    <hyperlink ref="E2" r:id="rId1"/>
  </hyperlinks>
  <pageMargins left="0.39370078740157483" right="0.39370078740157483" top="0.19685039370078741" bottom="0.19685039370078741" header="0.11811023622047245" footer="0.11811023622047245"/>
  <pageSetup paperSize="9" orientation="landscape" verticalDpi="0" r:id="rId2"/>
  <headerFooter alignWithMargins="0"/>
  <drawing r:id="rId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3</vt:i4>
      </vt:variant>
      <vt:variant>
        <vt:lpstr>名前付き一覧</vt:lpstr>
      </vt:variant>
      <vt:variant>
        <vt:i4>28</vt:i4>
      </vt:variant>
    </vt:vector>
  </HeadingPairs>
  <TitlesOfParts>
    <vt:vector size="31" baseType="lpstr">
      <vt:lpstr>_チケット一括作成</vt:lpstr>
      <vt:lpstr>予定工数履歴</vt:lpstr>
      <vt:lpstr>設定</vt:lpstr>
      <vt:lpstr>予定工数履歴!No</vt:lpstr>
      <vt:lpstr>No</vt:lpstr>
      <vt:lpstr>_チケット一括作成!Print_Titles</vt:lpstr>
      <vt:lpstr>予定工数履歴!Print_Titles</vt:lpstr>
      <vt:lpstr>予定工数履歴!データ</vt:lpstr>
      <vt:lpstr>データ</vt:lpstr>
      <vt:lpstr>開始日</vt:lpstr>
      <vt:lpstr>期日</vt:lpstr>
      <vt:lpstr>休日曜日</vt:lpstr>
      <vt:lpstr>工数１日</vt:lpstr>
      <vt:lpstr>工数未入力</vt:lpstr>
      <vt:lpstr>再計算開始日付</vt:lpstr>
      <vt:lpstr>祝日設定</vt:lpstr>
      <vt:lpstr>順</vt:lpstr>
      <vt:lpstr>進捗報告日</vt:lpstr>
      <vt:lpstr>進捗報告日2</vt:lpstr>
      <vt:lpstr>進捗率</vt:lpstr>
      <vt:lpstr>予定工数履歴!題名</vt:lpstr>
      <vt:lpstr>題名</vt:lpstr>
      <vt:lpstr>予定工数履歴!担当者</vt:lpstr>
      <vt:lpstr>担当者</vt:lpstr>
      <vt:lpstr>担当者状況雛型行</vt:lpstr>
      <vt:lpstr>当初工数</vt:lpstr>
      <vt:lpstr>日付計算対象外</vt:lpstr>
      <vt:lpstr>無視休日祝日</vt:lpstr>
      <vt:lpstr>予定工数</vt:lpstr>
      <vt:lpstr>予定工数履歴</vt:lpstr>
      <vt:lpstr>予定工数履歴雛型列</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nmrmsys</dc:creator>
  <cp:lastModifiedBy>Masayoshi Nomura</cp:lastModifiedBy>
  <cp:lastPrinted>2014-07-08T05:21:41Z</cp:lastPrinted>
  <dcterms:created xsi:type="dcterms:W3CDTF">2011-10-05T13:00:11Z</dcterms:created>
  <dcterms:modified xsi:type="dcterms:W3CDTF">2014-07-11T01:13:56Z</dcterms:modified>
</cp:coreProperties>
</file>