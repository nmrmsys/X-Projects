
<file path=[Content_Types].xml><?xml version="1.0" encoding="utf-8"?>
<Types xmlns="http://schemas.openxmlformats.org/package/2006/content-types">
  <Default Extension="bin" ContentType="application/vnd.openxmlformats-officedocument.spreadsheetml.printerSettings"/>
  <Override PartName="/xl/activeX/activeX2.bin" ContentType="application/vnd.ms-office.activeX"/>
  <Override PartName="/xl/activeX/activeX3.bin" ContentType="application/vnd.ms-office.activeX"/>
  <Override PartName="/xl/activeX/activeX4.bin" ContentType="application/vnd.ms-office.activeX"/>
  <Override PartName="/xl/theme/theme1.xml" ContentType="application/vnd.openxmlformats-officedocument.theme+xml"/>
  <Override PartName="/xl/styles.xml" ContentType="application/vnd.openxmlformats-officedocument.spreadsheetml.styles+xml"/>
  <Override PartName="/xl/activeX/activeX1.bin" ContentType="application/vnd.ms-office.activeX"/>
  <Default Extension="emf" ContentType="image/x-emf"/>
  <Override PartName="/xl/charts/chart2.xml" ContentType="application/vnd.openxmlformats-officedocument.drawingml.char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activeX/activeX2.xml" ContentType="application/vnd.ms-office.activeX+xml"/>
  <Override PartName="/xl/activeX/activeX3.xml" ContentType="application/vnd.ms-office.activeX+xml"/>
  <Override PartName="/xl/activeX/activeX4.xml" ContentType="application/vnd.ms-office.activeX+xml"/>
  <Override PartName="/xl/charts/chart1.xml" ContentType="application/vnd.openxmlformats-officedocument.drawingml.char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activeX/activeX1.xml" ContentType="application/vnd.ms-office.activeX+xml"/>
  <Override PartName="/xl/drawings/drawing1.xml" ContentType="application/vnd.openxmlformats-officedocument.drawing+xml"/>
  <Override PartName="/xl/comments2.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0" yWindow="75" windowWidth="20730" windowHeight="10695"/>
  </bookViews>
  <sheets>
    <sheet name="_チケット一括作成" sheetId="1" r:id="rId1"/>
    <sheet name="予定工数履歴" sheetId="3" r:id="rId2"/>
    <sheet name="設定" sheetId="2" r:id="rId3"/>
  </sheets>
  <functionGroups/>
  <definedNames>
    <definedName name="_xlnm._FilterDatabase" localSheetId="0" hidden="1">_チケット一括作成!$A$1:$AA$13</definedName>
    <definedName name="_xlnm._FilterDatabase" localSheetId="1" hidden="1">予定工数履歴!$A$1:$G$17</definedName>
    <definedName name="APIキー">設定!$B$56</definedName>
    <definedName name="Id">_チケット一括作成!$C:$C</definedName>
    <definedName name="No" localSheetId="1">予定工数履歴!$A$6:$A$65536</definedName>
    <definedName name="No">_チケット一括作成!$A$2:$A$65536</definedName>
    <definedName name="_xlnm.Print_Titles" localSheetId="0">_チケット一括作成!$1:$1</definedName>
    <definedName name="_xlnm.Print_Titles" localSheetId="1">予定工数履歴!$A:$A,予定工数履歴!$1:$1</definedName>
    <definedName name="カテゴリ">_チケット一括作成!$M:$M</definedName>
    <definedName name="ステータス">_チケット一括作成!$G:$G</definedName>
    <definedName name="データ" localSheetId="1">予定工数履歴!$A:$F</definedName>
    <definedName name="データ">_チケット一括作成!$A:$AA</definedName>
    <definedName name="トラッカー">_チケット一括作成!$E:$E</definedName>
    <definedName name="バッファ工数">設定!$B$46</definedName>
    <definedName name="プライベート">_チケット一括作成!$Y:$Y</definedName>
    <definedName name="プロジェクト">_チケット一括作成!$D:$D</definedName>
    <definedName name="プロジェクトID">設定!$B$58</definedName>
    <definedName name="ベースURL">設定!$B$54</definedName>
    <definedName name="回答">_チケット一括作成!$W:$W</definedName>
    <definedName name="開始日">_チケット一括作成!$O$2:$O$65536</definedName>
    <definedName name="危険バッファ消費率開始時">設定!$B$50</definedName>
    <definedName name="危険バッファ消費率終了時">設定!$C$50</definedName>
    <definedName name="期日">_チケット一括作成!$P$2:$P$65536</definedName>
    <definedName name="休日曜日">設定!$C$13:$C$19</definedName>
    <definedName name="工数１日">設定!$B$4</definedName>
    <definedName name="工数未入力">設定!$B$7</definedName>
    <definedName name="更新日">_チケット一括作成!$L:$L</definedName>
    <definedName name="再計算開始日付">設定!$B$10</definedName>
    <definedName name="作業時間">_チケット一括作成!$R:$R</definedName>
    <definedName name="作成者">_チケット一括作成!$J:$J</definedName>
    <definedName name="作成日">_チケット一括作成!$T:$T</definedName>
    <definedName name="祝日設定">設定!$E$4:$E$40</definedName>
    <definedName name="順">_チケット一括作成!$B$2:$B$65536</definedName>
    <definedName name="進捗パーセント">_チケット一括作成!$S:$S</definedName>
    <definedName name="進捗報告日">設定!$L$2</definedName>
    <definedName name="進捗報告日2">設定!$I$2</definedName>
    <definedName name="進捗報告日確認">設定!$E$43</definedName>
    <definedName name="進捗率">_チケット一括作成!$S$2:$S$65536</definedName>
    <definedName name="説明">_チケット一括作成!$Z:$Z</definedName>
    <definedName name="対象バージョン">_チケット一括作成!$N:$N</definedName>
    <definedName name="題名" localSheetId="1">予定工数履歴!$B$6:$B$65536</definedName>
    <definedName name="題名">_チケット一括作成!$I$2:$I$65536</definedName>
    <definedName name="担当者" localSheetId="1">予定工数履歴!$C$6:$C$65536</definedName>
    <definedName name="担当者">_チケット一括作成!$K$2:$K$65536</definedName>
    <definedName name="担当者状況雛型行">設定!$K$4:$S$4</definedName>
    <definedName name="注意バッファ消費率開始時">設定!$B$48</definedName>
    <definedName name="注意バッファ消費率終了時">設定!$C$48</definedName>
    <definedName name="当初工数">_チケット一括作成!$X$2:$X$65536</definedName>
    <definedName name="日付計算対象外">設定!$B$22:$C$29</definedName>
    <definedName name="無視休日祝日">設定!$B$32:$C$40</definedName>
    <definedName name="優先度">_チケット一括作成!$H:$H</definedName>
    <definedName name="予定工数">_チケット一括作成!$Q$2:$Q$65536</definedName>
    <definedName name="予定工数履歴">設定!$B$43</definedName>
    <definedName name="予定工数履歴雛型列">予定工数履歴!$D:$D</definedName>
  </definedNames>
  <calcPr calcId="125725" fullCalcOnLoad="1"/>
</workbook>
</file>

<file path=xl/calcChain.xml><?xml version="1.0" encoding="utf-8"?>
<calcChain xmlns="http://schemas.openxmlformats.org/spreadsheetml/2006/main">
  <c r="P8" i="2"/>
  <c r="Q8" s="1"/>
  <c r="R8" s="1"/>
  <c r="O8"/>
  <c r="N8"/>
  <c r="M8"/>
  <c r="S7"/>
  <c r="Q7"/>
  <c r="R7" s="1"/>
  <c r="S6"/>
  <c r="Q6"/>
  <c r="R6"/>
  <c r="S5"/>
  <c r="Q5"/>
  <c r="R5" s="1"/>
  <c r="S4"/>
  <c r="Q4"/>
  <c r="R4" s="1"/>
  <c r="G5" i="3"/>
  <c r="F5"/>
  <c r="E5"/>
  <c r="D5"/>
  <c r="I6" i="2"/>
  <c r="I8" s="1"/>
  <c r="I4"/>
  <c r="I5"/>
  <c r="I7" s="1"/>
  <c r="I9" l="1"/>
  <c r="S8"/>
</calcChain>
</file>

<file path=xl/comments1.xml><?xml version="1.0" encoding="utf-8"?>
<comments xmlns="http://schemas.openxmlformats.org/spreadsheetml/2006/main">
  <authors>
    <author>野村昌由</author>
  </authors>
  <commentList>
    <comment ref="C1" authorId="0">
      <text>
        <r>
          <rPr>
            <sz val="9"/>
            <color indexed="81"/>
            <rFont val="ＭＳ Ｐゴシック"/>
            <family val="3"/>
            <charset val="128"/>
          </rPr>
          <t>チケット一覧をCSV出力した内容をこのセルから貼り付けると既存チケットが更新出来ます。</t>
        </r>
      </text>
    </comment>
    <comment ref="N1" authorId="0">
      <text>
        <r>
          <rPr>
            <sz val="9"/>
            <color indexed="81"/>
            <rFont val="ＭＳ Ｐゴシック"/>
            <family val="3"/>
            <charset val="128"/>
          </rPr>
          <t>全角や/を使うとインポートでエラーになるので要注意</t>
        </r>
      </text>
    </comment>
  </commentList>
</comments>
</file>

<file path=xl/comments2.xml><?xml version="1.0" encoding="utf-8"?>
<comments xmlns="http://schemas.openxmlformats.org/spreadsheetml/2006/main">
  <authors>
    <author>野村昌由</author>
  </authors>
  <commentList>
    <comment ref="B48" authorId="0">
      <text>
        <r>
          <rPr>
            <sz val="9"/>
            <color indexed="81"/>
            <rFont val="ＭＳ Ｐゴシック"/>
            <family val="3"/>
            <charset val="128"/>
          </rPr>
          <t>開始時点</t>
        </r>
      </text>
    </comment>
    <comment ref="C48" authorId="0">
      <text>
        <r>
          <rPr>
            <sz val="9"/>
            <color indexed="81"/>
            <rFont val="ＭＳ Ｐゴシック"/>
            <family val="3"/>
            <charset val="128"/>
          </rPr>
          <t>終了時点</t>
        </r>
      </text>
    </comment>
    <comment ref="B50" authorId="0">
      <text>
        <r>
          <rPr>
            <sz val="9"/>
            <color indexed="81"/>
            <rFont val="ＭＳ Ｐゴシック"/>
            <family val="3"/>
            <charset val="128"/>
          </rPr>
          <t>開始時点</t>
        </r>
      </text>
    </comment>
    <comment ref="C50" authorId="0">
      <text>
        <r>
          <rPr>
            <sz val="9"/>
            <color indexed="81"/>
            <rFont val="ＭＳ Ｐゴシック"/>
            <family val="3"/>
            <charset val="128"/>
          </rPr>
          <t>終了時点</t>
        </r>
      </text>
    </comment>
  </commentList>
</comments>
</file>

<file path=xl/sharedStrings.xml><?xml version="1.0" encoding="utf-8"?>
<sst xmlns="http://schemas.openxmlformats.org/spreadsheetml/2006/main" count="255" uniqueCount="130">
  <si>
    <t>題名</t>
    <rPh sb="0" eb="2">
      <t>ダイメイ</t>
    </rPh>
    <phoneticPr fontId="1"/>
  </si>
  <si>
    <t>説明</t>
    <rPh sb="0" eb="2">
      <t>セツメイ</t>
    </rPh>
    <phoneticPr fontId="1"/>
  </si>
  <si>
    <t>担当者</t>
    <rPh sb="0" eb="3">
      <t>タントウシャ</t>
    </rPh>
    <phoneticPr fontId="1"/>
  </si>
  <si>
    <t>対象バージョン</t>
    <rPh sb="0" eb="2">
      <t>タイショウ</t>
    </rPh>
    <phoneticPr fontId="1"/>
  </si>
  <si>
    <t>作成者</t>
    <rPh sb="0" eb="3">
      <t>サクセイシャ</t>
    </rPh>
    <phoneticPr fontId="1"/>
  </si>
  <si>
    <t>カテゴリ</t>
    <phoneticPr fontId="1"/>
  </si>
  <si>
    <t>優先度</t>
    <rPh sb="0" eb="3">
      <t>ユウセンド</t>
    </rPh>
    <phoneticPr fontId="1"/>
  </si>
  <si>
    <t>トラッカー</t>
    <phoneticPr fontId="1"/>
  </si>
  <si>
    <t>ステータス</t>
    <phoneticPr fontId="1"/>
  </si>
  <si>
    <t>開始日</t>
    <rPh sb="0" eb="3">
      <t>カイシビ</t>
    </rPh>
    <phoneticPr fontId="1"/>
  </si>
  <si>
    <t>期日</t>
    <rPh sb="0" eb="2">
      <t>キジツ</t>
    </rPh>
    <phoneticPr fontId="1"/>
  </si>
  <si>
    <t>予定工数</t>
    <rPh sb="0" eb="2">
      <t>ヨテイ</t>
    </rPh>
    <rPh sb="2" eb="4">
      <t>コウスウ</t>
    </rPh>
    <phoneticPr fontId="1"/>
  </si>
  <si>
    <t>プロジェクト</t>
    <phoneticPr fontId="1"/>
  </si>
  <si>
    <t>作成日</t>
    <rPh sb="0" eb="3">
      <t>サクセイビ</t>
    </rPh>
    <phoneticPr fontId="1"/>
  </si>
  <si>
    <t>更新日</t>
    <rPh sb="0" eb="3">
      <t>コウシンビ</t>
    </rPh>
    <phoneticPr fontId="1"/>
  </si>
  <si>
    <t>№</t>
    <phoneticPr fontId="1"/>
  </si>
  <si>
    <t>順</t>
    <rPh sb="0" eb="1">
      <t>ジュン</t>
    </rPh>
    <phoneticPr fontId="1"/>
  </si>
  <si>
    <t>済</t>
    <rPh sb="0" eb="1">
      <t>ズ</t>
    </rPh>
    <phoneticPr fontId="1"/>
  </si>
  <si>
    <t>Id</t>
    <phoneticPr fontId="1"/>
  </si>
  <si>
    <t>元日</t>
  </si>
  <si>
    <t>成人の日</t>
  </si>
  <si>
    <t>建国記念の日</t>
  </si>
  <si>
    <t>春分の日</t>
  </si>
  <si>
    <t>昭和の日</t>
  </si>
  <si>
    <t>憲法記念日</t>
  </si>
  <si>
    <t>みどりの日</t>
  </si>
  <si>
    <t>こどもの日</t>
  </si>
  <si>
    <t>海の日</t>
  </si>
  <si>
    <t>敬老の日</t>
  </si>
  <si>
    <t>秋分の日</t>
  </si>
  <si>
    <t>体育の日</t>
  </si>
  <si>
    <t>文化の日</t>
  </si>
  <si>
    <t>勤労感謝の日</t>
  </si>
  <si>
    <t>天皇誕生日</t>
  </si>
  <si>
    <t>振替休日</t>
  </si>
  <si>
    <t>http://www.h3.dion.ne.jp/~sakatsu/holiday_topic.htm</t>
    <phoneticPr fontId="1"/>
  </si>
  <si>
    <t>必要な場合、以下から取得</t>
    <rPh sb="0" eb="2">
      <t>ヒツヨウ</t>
    </rPh>
    <rPh sb="3" eb="5">
      <t>バアイ</t>
    </rPh>
    <rPh sb="6" eb="8">
      <t>イカ</t>
    </rPh>
    <rPh sb="10" eb="12">
      <t>シュトク</t>
    </rPh>
    <phoneticPr fontId="1"/>
  </si>
  <si>
    <t>日</t>
    <rPh sb="0" eb="1">
      <t>ニチ</t>
    </rPh>
    <phoneticPr fontId="1"/>
  </si>
  <si>
    <t>土</t>
    <rPh sb="0" eb="1">
      <t>ド</t>
    </rPh>
    <phoneticPr fontId="1"/>
  </si>
  <si>
    <t>月</t>
    <rPh sb="0" eb="1">
      <t>ゲツ</t>
    </rPh>
    <phoneticPr fontId="1"/>
  </si>
  <si>
    <t>火</t>
    <rPh sb="0" eb="1">
      <t>ヒ</t>
    </rPh>
    <phoneticPr fontId="1"/>
  </si>
  <si>
    <t>水</t>
    <rPh sb="0" eb="1">
      <t>スイ</t>
    </rPh>
    <phoneticPr fontId="1"/>
  </si>
  <si>
    <t>木</t>
    <rPh sb="0" eb="1">
      <t>モク</t>
    </rPh>
    <phoneticPr fontId="1"/>
  </si>
  <si>
    <t>金</t>
    <rPh sb="0" eb="1">
      <t>キン</t>
    </rPh>
    <phoneticPr fontId="1"/>
  </si>
  <si>
    <t>○</t>
    <phoneticPr fontId="1"/>
  </si>
  <si>
    <t>タスク４</t>
  </si>
  <si>
    <t>タスク５</t>
  </si>
  <si>
    <t>タスク６</t>
  </si>
  <si>
    <t>タスク７</t>
  </si>
  <si>
    <t>タスク８</t>
  </si>
  <si>
    <t>タスク９</t>
  </si>
  <si>
    <t>タスク１１</t>
  </si>
  <si>
    <t>タスク１２</t>
  </si>
  <si>
    <t>1</t>
    <phoneticPr fontId="1"/>
  </si>
  <si>
    <t>2</t>
    <phoneticPr fontId="1"/>
  </si>
  <si>
    <t>未入力時の予定工数</t>
    <phoneticPr fontId="1"/>
  </si>
  <si>
    <t>○</t>
  </si>
  <si>
    <t>再計算する開始日付</t>
    <rPh sb="0" eb="3">
      <t>サイケイサン</t>
    </rPh>
    <rPh sb="5" eb="7">
      <t>カイシ</t>
    </rPh>
    <rPh sb="7" eb="9">
      <t>ヒヅケ</t>
    </rPh>
    <phoneticPr fontId="1"/>
  </si>
  <si>
    <t>祝日設定</t>
    <rPh sb="0" eb="2">
      <t>シュクジツ</t>
    </rPh>
    <rPh sb="2" eb="4">
      <t>セッテイ</t>
    </rPh>
    <phoneticPr fontId="1"/>
  </si>
  <si>
    <t>無視する休日、祝日</t>
    <rPh sb="0" eb="2">
      <t>ムシ</t>
    </rPh>
    <rPh sb="4" eb="6">
      <t>キュウジツ</t>
    </rPh>
    <rPh sb="7" eb="9">
      <t>シュクジツ</t>
    </rPh>
    <phoneticPr fontId="1"/>
  </si>
  <si>
    <t>１日と計算する工数</t>
    <phoneticPr fontId="1"/>
  </si>
  <si>
    <t>休日の曜日</t>
    <rPh sb="0" eb="2">
      <t>キュウジツ</t>
    </rPh>
    <rPh sb="3" eb="5">
      <t>ヨウビ</t>
    </rPh>
    <phoneticPr fontId="1"/>
  </si>
  <si>
    <t>日付計算しない担当</t>
    <rPh sb="0" eb="2">
      <t>ヒヅケ</t>
    </rPh>
    <rPh sb="2" eb="4">
      <t>ケイサン</t>
    </rPh>
    <rPh sb="7" eb="9">
      <t>タントウ</t>
    </rPh>
    <phoneticPr fontId="1"/>
  </si>
  <si>
    <t>進捗 %</t>
    <rPh sb="0" eb="2">
      <t>シンチョク</t>
    </rPh>
    <phoneticPr fontId="1"/>
  </si>
  <si>
    <t>回答</t>
    <rPh sb="0" eb="2">
      <t>カイトウ</t>
    </rPh>
    <phoneticPr fontId="1"/>
  </si>
  <si>
    <t>当初工数</t>
    <rPh sb="0" eb="2">
      <t>トウショ</t>
    </rPh>
    <rPh sb="2" eb="4">
      <t>コウスウ</t>
    </rPh>
    <phoneticPr fontId="1"/>
  </si>
  <si>
    <t>終了日</t>
    <rPh sb="0" eb="3">
      <t>シュウリョウビ</t>
    </rPh>
    <phoneticPr fontId="1"/>
  </si>
  <si>
    <t>当初工数</t>
  </si>
  <si>
    <t>予定工数</t>
  </si>
  <si>
    <t>予定人日</t>
  </si>
  <si>
    <t>予定人月</t>
  </si>
  <si>
    <t>変動率</t>
    <rPh sb="0" eb="2">
      <t>ヘンドウ</t>
    </rPh>
    <rPh sb="2" eb="3">
      <t>リツ</t>
    </rPh>
    <phoneticPr fontId="1"/>
  </si>
  <si>
    <t>国民の休日</t>
  </si>
  <si>
    <t>作業時間</t>
    <rPh sb="0" eb="2">
      <t>サギョウ</t>
    </rPh>
    <rPh sb="2" eb="4">
      <t>ジカン</t>
    </rPh>
    <phoneticPr fontId="1"/>
  </si>
  <si>
    <t>関連するチケット</t>
    <rPh sb="0" eb="2">
      <t>カンレン</t>
    </rPh>
    <phoneticPr fontId="1"/>
  </si>
  <si>
    <t>プライベート</t>
    <phoneticPr fontId="1"/>
  </si>
  <si>
    <t>進捗報告日</t>
    <rPh sb="0" eb="2">
      <t>シンチョク</t>
    </rPh>
    <rPh sb="2" eb="4">
      <t>ホウコク</t>
    </rPh>
    <rPh sb="4" eb="5">
      <t>ビ</t>
    </rPh>
    <phoneticPr fontId="1"/>
  </si>
  <si>
    <t>予定工数履歴</t>
    <rPh sb="0" eb="2">
      <t>ヨテイ</t>
    </rPh>
    <rPh sb="2" eb="4">
      <t>コウスウ</t>
    </rPh>
    <rPh sb="4" eb="6">
      <t>リレキ</t>
    </rPh>
    <phoneticPr fontId="1"/>
  </si>
  <si>
    <t>サンプルプロジェクト</t>
  </si>
  <si>
    <t>機能</t>
  </si>
  <si>
    <t>未着手</t>
  </si>
  <si>
    <t>通常</t>
  </si>
  <si>
    <t>タスク１</t>
  </si>
  <si>
    <t>mnomura</t>
  </si>
  <si>
    <t>testuser1</t>
  </si>
  <si>
    <t>1_0_0</t>
  </si>
  <si>
    <t>タスク２</t>
  </si>
  <si>
    <t>タスク３</t>
  </si>
  <si>
    <t>testuser4</t>
  </si>
  <si>
    <t>testuser3</t>
  </si>
  <si>
    <t>タスク１０</t>
  </si>
  <si>
    <t>testuser2</t>
  </si>
  <si>
    <t>9_9_9</t>
  </si>
  <si>
    <t>トータル工数</t>
  </si>
  <si>
    <t>終了工数（予定）</t>
  </si>
  <si>
    <t>終了工数（実績）</t>
  </si>
  <si>
    <t>終了比率（予定）</t>
  </si>
  <si>
    <t>終了比率（実績）</t>
  </si>
  <si>
    <t>予実差異比率</t>
  </si>
  <si>
    <t>進捗情報</t>
    <rPh sb="0" eb="2">
      <t>シンチョク</t>
    </rPh>
    <rPh sb="2" eb="4">
      <t>ジョウホウ</t>
    </rPh>
    <phoneticPr fontId="1"/>
  </si>
  <si>
    <t>予定工数計</t>
    <rPh sb="0" eb="2">
      <t>ヨテイ</t>
    </rPh>
    <rPh sb="2" eb="4">
      <t>コウスウ</t>
    </rPh>
    <rPh sb="4" eb="5">
      <t>ケイ</t>
    </rPh>
    <phoneticPr fontId="1"/>
  </si>
  <si>
    <t>実績工数計</t>
    <rPh sb="0" eb="2">
      <t>ジッセキ</t>
    </rPh>
    <rPh sb="2" eb="4">
      <t>コウスウ</t>
    </rPh>
    <rPh sb="4" eb="5">
      <t>ケイ</t>
    </rPh>
    <phoneticPr fontId="1"/>
  </si>
  <si>
    <t>残り工数計</t>
    <rPh sb="0" eb="1">
      <t>ノコ</t>
    </rPh>
    <rPh sb="2" eb="4">
      <t>コウスウ</t>
    </rPh>
    <rPh sb="4" eb="5">
      <t>ケイ</t>
    </rPh>
    <phoneticPr fontId="1"/>
  </si>
  <si>
    <t>親Ticket</t>
    <phoneticPr fontId="1"/>
  </si>
  <si>
    <t>実績工数</t>
    <rPh sb="0" eb="2">
      <t>ジッセキ</t>
    </rPh>
    <rPh sb="2" eb="4">
      <t>コウスウ</t>
    </rPh>
    <phoneticPr fontId="1"/>
  </si>
  <si>
    <t>残り工数</t>
    <rPh sb="0" eb="1">
      <t>ノコ</t>
    </rPh>
    <rPh sb="2" eb="4">
      <t>コウスウ</t>
    </rPh>
    <phoneticPr fontId="1"/>
  </si>
  <si>
    <t>バッファ工数</t>
    <rPh sb="4" eb="6">
      <t>コウスウ</t>
    </rPh>
    <phoneticPr fontId="1"/>
  </si>
  <si>
    <t>注意バッファ消費率</t>
    <rPh sb="0" eb="2">
      <t>チュウイ</t>
    </rPh>
    <rPh sb="6" eb="8">
      <t>ショウヒ</t>
    </rPh>
    <rPh sb="8" eb="9">
      <t>リツ</t>
    </rPh>
    <phoneticPr fontId="1"/>
  </si>
  <si>
    <t>危険バッファ消費率</t>
    <rPh sb="0" eb="2">
      <t>キケン</t>
    </rPh>
    <rPh sb="6" eb="8">
      <t>ショウヒ</t>
    </rPh>
    <rPh sb="8" eb="9">
      <t>リツ</t>
    </rPh>
    <phoneticPr fontId="1"/>
  </si>
  <si>
    <t>バッファ消費率</t>
    <rPh sb="4" eb="6">
      <t>ショウヒ</t>
    </rPh>
    <rPh sb="6" eb="7">
      <t>リツ</t>
    </rPh>
    <phoneticPr fontId="1"/>
  </si>
  <si>
    <t>testuser2</t>
    <phoneticPr fontId="1"/>
  </si>
  <si>
    <t>.</t>
    <phoneticPr fontId="1"/>
  </si>
  <si>
    <t>testuser1</t>
    <phoneticPr fontId="1"/>
  </si>
  <si>
    <t>testuser3</t>
    <phoneticPr fontId="1"/>
  </si>
  <si>
    <t>testuser4</t>
    <phoneticPr fontId="1"/>
  </si>
  <si>
    <t>山の日</t>
  </si>
  <si>
    <t>作成する</t>
  </si>
  <si>
    <t>進捗報告日確認</t>
    <rPh sb="0" eb="2">
      <t>シンチョク</t>
    </rPh>
    <rPh sb="2" eb="4">
      <t>ホウコク</t>
    </rPh>
    <rPh sb="4" eb="5">
      <t>ビ</t>
    </rPh>
    <rPh sb="5" eb="7">
      <t>カクニン</t>
    </rPh>
    <phoneticPr fontId="1"/>
  </si>
  <si>
    <t>確認する</t>
  </si>
  <si>
    <t>X-Projects v0.5.0</t>
    <phoneticPr fontId="1"/>
  </si>
  <si>
    <t>REST API 設定</t>
    <rPh sb="9" eb="11">
      <t>セッテイ</t>
    </rPh>
    <phoneticPr fontId="1"/>
  </si>
  <si>
    <t>ベースURL</t>
    <phoneticPr fontId="1"/>
  </si>
  <si>
    <t>APIキー</t>
    <phoneticPr fontId="1"/>
  </si>
  <si>
    <t>プロジェクトID</t>
    <phoneticPr fontId="1"/>
  </si>
  <si>
    <t>14671</t>
    <phoneticPr fontId="1"/>
  </si>
  <si>
    <t>タスク９９</t>
    <phoneticPr fontId="1"/>
  </si>
  <si>
    <t>作業完了</t>
    <rPh sb="0" eb="2">
      <t>サギョウ</t>
    </rPh>
    <rPh sb="2" eb="4">
      <t>カンリョウ</t>
    </rPh>
    <phoneticPr fontId="1"/>
  </si>
  <si>
    <t>https://www.example.com/redmine/</t>
    <phoneticPr fontId="1"/>
  </si>
  <si>
    <t>xxxxxxxxxxxxxxxxxxxxxxxxxxxxxxxxxxxxxxx</t>
    <phoneticPr fontId="1"/>
  </si>
  <si>
    <t>project-x</t>
    <phoneticPr fontId="1"/>
  </si>
</sst>
</file>

<file path=xl/styles.xml><?xml version="1.0" encoding="utf-8"?>
<styleSheet xmlns="http://schemas.openxmlformats.org/spreadsheetml/2006/main">
  <numFmts count="4">
    <numFmt numFmtId="176" formatCode="yyyy/mm/dd"/>
    <numFmt numFmtId="181" formatCode="0000"/>
    <numFmt numFmtId="184" formatCode="0.00_);[Red]\(0.00\)"/>
    <numFmt numFmtId="185" formatCode="yyyy/mm/dd\ hh:mm"/>
  </numFmts>
  <fonts count="6">
    <font>
      <sz val="11"/>
      <name val="ＭＳ Ｐゴシック"/>
      <family val="3"/>
      <charset val="128"/>
    </font>
    <font>
      <sz val="6"/>
      <name val="ＭＳ Ｐゴシック"/>
      <family val="3"/>
      <charset val="128"/>
    </font>
    <font>
      <sz val="9"/>
      <color indexed="81"/>
      <name val="ＭＳ Ｐゴシック"/>
      <family val="3"/>
      <charset val="128"/>
    </font>
    <font>
      <u/>
      <sz val="11"/>
      <color indexed="12"/>
      <name val="ＭＳ Ｐゴシック"/>
      <family val="3"/>
      <charset val="128"/>
    </font>
    <font>
      <b/>
      <sz val="11"/>
      <name val="ＭＳ Ｐゴシック"/>
      <family val="3"/>
      <charset val="128"/>
    </font>
    <font>
      <sz val="11"/>
      <color indexed="55"/>
      <name val="ＭＳ Ｐゴシック"/>
      <family val="3"/>
      <charset val="128"/>
    </font>
  </fonts>
  <fills count="5">
    <fill>
      <patternFill patternType="none"/>
    </fill>
    <fill>
      <patternFill patternType="gray125"/>
    </fill>
    <fill>
      <patternFill patternType="solid">
        <fgColor indexed="22"/>
        <bgColor indexed="64"/>
      </patternFill>
    </fill>
    <fill>
      <patternFill patternType="solid">
        <fgColor indexed="46"/>
        <bgColor indexed="64"/>
      </patternFill>
    </fill>
    <fill>
      <patternFill patternType="solid">
        <fgColor indexed="4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alignment vertical="center"/>
    </xf>
    <xf numFmtId="0" fontId="3" fillId="0" borderId="0" applyNumberFormat="0" applyFill="0" applyBorder="0" applyAlignment="0" applyProtection="0">
      <alignment vertical="top"/>
      <protection locked="0"/>
    </xf>
  </cellStyleXfs>
  <cellXfs count="57">
    <xf numFmtId="0" fontId="0" fillId="0" borderId="0" xfId="0">
      <alignment vertical="center"/>
    </xf>
    <xf numFmtId="0" fontId="0" fillId="2" borderId="1" xfId="0" applyFill="1" applyBorder="1">
      <alignment vertical="center"/>
    </xf>
    <xf numFmtId="176" fontId="0" fillId="2" borderId="1" xfId="0" applyNumberFormat="1" applyFill="1" applyBorder="1">
      <alignment vertical="center"/>
    </xf>
    <xf numFmtId="176" fontId="0" fillId="0" borderId="0" xfId="0" applyNumberFormat="1">
      <alignment vertical="center"/>
    </xf>
    <xf numFmtId="49" fontId="0" fillId="2" borderId="1" xfId="0" applyNumberFormat="1" applyFill="1" applyBorder="1">
      <alignment vertical="center"/>
    </xf>
    <xf numFmtId="49" fontId="0" fillId="0" borderId="0" xfId="0" applyNumberFormat="1">
      <alignment vertical="center"/>
    </xf>
    <xf numFmtId="49" fontId="0" fillId="0" borderId="0" xfId="0" applyNumberFormat="1" applyAlignment="1">
      <alignment horizontal="center" vertical="center"/>
    </xf>
    <xf numFmtId="49" fontId="0" fillId="2" borderId="1" xfId="0" applyNumberFormat="1" applyFill="1" applyBorder="1" applyAlignment="1">
      <alignment vertical="center"/>
    </xf>
    <xf numFmtId="0" fontId="3" fillId="0" borderId="0" xfId="1" applyAlignment="1" applyProtection="1">
      <alignment vertical="center"/>
    </xf>
    <xf numFmtId="0" fontId="0" fillId="0" borderId="0" xfId="0" applyAlignment="1">
      <alignment horizontal="center" vertical="center"/>
    </xf>
    <xf numFmtId="0" fontId="0" fillId="0" borderId="0" xfId="0" applyNumberFormat="1" applyAlignment="1">
      <alignment horizontal="center" vertical="center"/>
    </xf>
    <xf numFmtId="0" fontId="0" fillId="0" borderId="1" xfId="0" applyBorder="1" applyAlignment="1">
      <alignment horizontal="center" vertical="center"/>
    </xf>
    <xf numFmtId="0" fontId="0" fillId="0" borderId="1" xfId="0" applyBorder="1">
      <alignment vertical="center"/>
    </xf>
    <xf numFmtId="176" fontId="0" fillId="0" borderId="1" xfId="0" applyNumberFormat="1" applyBorder="1" applyAlignment="1">
      <alignment horizontal="center" vertical="center"/>
    </xf>
    <xf numFmtId="0" fontId="4" fillId="0" borderId="0" xfId="0" applyNumberFormat="1" applyFont="1" applyAlignment="1">
      <alignment vertical="center"/>
    </xf>
    <xf numFmtId="181" fontId="0" fillId="2" borderId="1" xfId="0" applyNumberFormat="1" applyFill="1" applyBorder="1" applyAlignment="1">
      <alignment vertical="center"/>
    </xf>
    <xf numFmtId="181" fontId="0" fillId="0" borderId="0" xfId="0" applyNumberFormat="1" applyAlignment="1">
      <alignment horizontal="center" vertical="center"/>
    </xf>
    <xf numFmtId="0" fontId="0" fillId="3" borderId="1" xfId="0" applyNumberFormat="1" applyFill="1" applyBorder="1" applyAlignment="1">
      <alignment horizontal="center" vertical="center"/>
    </xf>
    <xf numFmtId="0" fontId="0" fillId="3" borderId="1" xfId="0" applyFill="1" applyBorder="1" applyAlignment="1">
      <alignment horizontal="center" vertical="center"/>
    </xf>
    <xf numFmtId="184" fontId="0" fillId="0" borderId="0" xfId="0" applyNumberFormat="1">
      <alignment vertical="center"/>
    </xf>
    <xf numFmtId="184" fontId="0" fillId="3" borderId="1" xfId="0" applyNumberFormat="1" applyFill="1" applyBorder="1" applyAlignment="1">
      <alignment horizontal="center" vertical="center"/>
    </xf>
    <xf numFmtId="184" fontId="0" fillId="0" borderId="1" xfId="0" applyNumberFormat="1" applyBorder="1">
      <alignment vertical="center"/>
    </xf>
    <xf numFmtId="184" fontId="0" fillId="0" borderId="2" xfId="0" applyNumberFormat="1" applyBorder="1">
      <alignment vertical="center"/>
    </xf>
    <xf numFmtId="176" fontId="0" fillId="2" borderId="1" xfId="0" applyNumberFormat="1" applyFill="1" applyBorder="1" applyAlignment="1">
      <alignment horizontal="left" vertical="center"/>
    </xf>
    <xf numFmtId="176" fontId="0" fillId="3" borderId="1" xfId="0" applyNumberFormat="1" applyFill="1" applyBorder="1" applyAlignment="1">
      <alignment horizontal="center" vertical="center"/>
    </xf>
    <xf numFmtId="176" fontId="0" fillId="0" borderId="0" xfId="0" applyNumberFormat="1" applyAlignment="1">
      <alignment horizontal="center" vertical="center"/>
    </xf>
    <xf numFmtId="0" fontId="0" fillId="0" borderId="3" xfId="0" applyBorder="1">
      <alignment vertical="center"/>
    </xf>
    <xf numFmtId="176" fontId="0" fillId="0" borderId="3" xfId="0" applyNumberFormat="1" applyBorder="1" applyAlignment="1">
      <alignment horizontal="center" vertical="center"/>
    </xf>
    <xf numFmtId="184" fontId="0" fillId="0" borderId="3" xfId="0" applyNumberFormat="1" applyBorder="1">
      <alignment vertical="center"/>
    </xf>
    <xf numFmtId="0" fontId="0" fillId="0" borderId="2" xfId="0" applyBorder="1">
      <alignment vertical="center"/>
    </xf>
    <xf numFmtId="176" fontId="0" fillId="0" borderId="2" xfId="0" applyNumberFormat="1" applyBorder="1" applyAlignment="1">
      <alignment horizontal="center" vertical="center"/>
    </xf>
    <xf numFmtId="185" fontId="0" fillId="2" borderId="1" xfId="0" applyNumberFormat="1" applyFill="1" applyBorder="1">
      <alignment vertical="center"/>
    </xf>
    <xf numFmtId="185" fontId="0" fillId="0" borderId="0" xfId="0" applyNumberFormat="1">
      <alignment vertical="center"/>
    </xf>
    <xf numFmtId="9" fontId="0" fillId="0" borderId="1" xfId="0" applyNumberFormat="1" applyBorder="1">
      <alignment vertical="center"/>
    </xf>
    <xf numFmtId="0" fontId="0" fillId="0" borderId="0" xfId="0" applyAlignment="1">
      <alignment vertical="center"/>
    </xf>
    <xf numFmtId="0" fontId="0" fillId="0" borderId="0" xfId="0" applyNumberFormat="1" applyFill="1" applyBorder="1" applyAlignment="1">
      <alignment vertical="center"/>
    </xf>
    <xf numFmtId="0" fontId="0" fillId="0" borderId="0" xfId="0" applyNumberFormat="1" applyFill="1" applyAlignment="1">
      <alignment vertical="center"/>
    </xf>
    <xf numFmtId="49" fontId="5" fillId="2" borderId="1" xfId="0" applyNumberFormat="1" applyFont="1" applyFill="1" applyBorder="1">
      <alignment vertical="center"/>
    </xf>
    <xf numFmtId="185" fontId="5" fillId="2" borderId="1" xfId="0" applyNumberFormat="1" applyFont="1" applyFill="1" applyBorder="1">
      <alignment vertical="center"/>
    </xf>
    <xf numFmtId="49" fontId="5" fillId="2" borderId="1" xfId="0" applyNumberFormat="1" applyFont="1" applyFill="1" applyBorder="1" applyAlignment="1">
      <alignment vertical="center"/>
    </xf>
    <xf numFmtId="0" fontId="0" fillId="0" borderId="1" xfId="0" applyNumberFormat="1" applyBorder="1" applyAlignment="1">
      <alignment horizontal="center" vertical="center"/>
    </xf>
    <xf numFmtId="0" fontId="0" fillId="0" borderId="0" xfId="0" applyNumberFormat="1" applyAlignment="1">
      <alignment vertical="center"/>
    </xf>
    <xf numFmtId="0" fontId="0" fillId="2" borderId="0" xfId="0" applyNumberFormat="1" applyFill="1" applyBorder="1" applyAlignment="1">
      <alignment horizontal="center" vertical="center"/>
    </xf>
    <xf numFmtId="0" fontId="0" fillId="2" borderId="4" xfId="0" applyNumberFormat="1" applyFill="1" applyBorder="1" applyAlignment="1">
      <alignment horizontal="center" vertical="center"/>
    </xf>
    <xf numFmtId="176" fontId="0" fillId="0" borderId="1" xfId="0" applyNumberFormat="1" applyBorder="1" applyAlignment="1">
      <alignment vertical="center"/>
    </xf>
    <xf numFmtId="0" fontId="0" fillId="0" borderId="1" xfId="0" applyBorder="1" applyAlignment="1">
      <alignment vertical="center"/>
    </xf>
    <xf numFmtId="176" fontId="0" fillId="0" borderId="1" xfId="0" applyNumberFormat="1" applyBorder="1" applyAlignment="1">
      <alignment horizontal="center" vertical="center"/>
    </xf>
    <xf numFmtId="0" fontId="0" fillId="4" borderId="1" xfId="0" applyNumberFormat="1" applyFill="1" applyBorder="1" applyAlignment="1">
      <alignment vertical="center"/>
    </xf>
    <xf numFmtId="0" fontId="0" fillId="4" borderId="1" xfId="0" applyNumberFormat="1" applyFill="1" applyBorder="1" applyAlignment="1">
      <alignment horizontal="center" vertical="center"/>
    </xf>
    <xf numFmtId="0" fontId="0" fillId="0" borderId="1" xfId="0" applyBorder="1" applyAlignment="1">
      <alignment horizontal="center" vertical="center"/>
    </xf>
    <xf numFmtId="0" fontId="0" fillId="0" borderId="1" xfId="0" applyNumberFormat="1" applyBorder="1" applyAlignment="1">
      <alignment horizontal="center" vertical="center"/>
    </xf>
    <xf numFmtId="0" fontId="0" fillId="0" borderId="5" xfId="0" applyNumberFormat="1" applyBorder="1" applyAlignment="1">
      <alignment vertical="center"/>
    </xf>
    <xf numFmtId="0" fontId="0" fillId="0" borderId="6" xfId="0" applyBorder="1" applyAlignment="1">
      <alignment vertical="center"/>
    </xf>
    <xf numFmtId="0" fontId="0" fillId="3" borderId="1" xfId="0" applyFill="1" applyBorder="1" applyAlignment="1">
      <alignment horizontal="center" vertical="center"/>
    </xf>
    <xf numFmtId="0" fontId="0" fillId="0" borderId="4" xfId="0" applyNumberFormat="1" applyBorder="1" applyAlignment="1">
      <alignment vertical="center"/>
    </xf>
    <xf numFmtId="0" fontId="0" fillId="0" borderId="4" xfId="0" applyBorder="1" applyAlignment="1">
      <alignment vertical="center"/>
    </xf>
    <xf numFmtId="0" fontId="0" fillId="4" borderId="1" xfId="0" applyFill="1" applyBorder="1" applyAlignment="1">
      <alignment horizontal="center" vertical="center"/>
    </xf>
  </cellXfs>
  <cellStyles count="2">
    <cellStyle name="ハイパーリンク" xfId="1" builtinId="8"/>
    <cellStyle name="標準"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lang val="ja-JP"/>
  <c:chart>
    <c:plotArea>
      <c:layout>
        <c:manualLayout>
          <c:layoutTarget val="inner"/>
          <c:xMode val="edge"/>
          <c:yMode val="edge"/>
          <c:x val="8.3700560556282916E-2"/>
          <c:y val="0.13235325796869726"/>
          <c:w val="0.83406874378892448"/>
          <c:h val="0.75245278141463079"/>
        </c:manualLayout>
      </c:layout>
      <c:lineChart>
        <c:grouping val="standard"/>
        <c:ser>
          <c:idx val="0"/>
          <c:order val="0"/>
          <c:tx>
            <c:v>実績工数計</c:v>
          </c:tx>
          <c:spPr>
            <a:ln w="25400">
              <a:solidFill>
                <a:srgbClr val="000080"/>
              </a:solidFill>
              <a:prstDash val="solid"/>
            </a:ln>
          </c:spPr>
          <c:marker>
            <c:symbol val="diamond"/>
            <c:size val="7"/>
            <c:spPr>
              <a:solidFill>
                <a:srgbClr val="000080"/>
              </a:solidFill>
              <a:ln>
                <a:solidFill>
                  <a:srgbClr val="000080"/>
                </a:solidFill>
                <a:prstDash val="solid"/>
              </a:ln>
            </c:spPr>
          </c:marker>
          <c:cat>
            <c:numRef>
              <c:f>予定工数履歴!$D$1:$G$1</c:f>
              <c:numCache>
                <c:formatCode>yyyy/mm/dd</c:formatCode>
                <c:ptCount val="4"/>
                <c:pt idx="0">
                  <c:v>42065</c:v>
                </c:pt>
                <c:pt idx="1">
                  <c:v>42069</c:v>
                </c:pt>
                <c:pt idx="2">
                  <c:v>42076</c:v>
                </c:pt>
                <c:pt idx="3">
                  <c:v>42081</c:v>
                </c:pt>
              </c:numCache>
            </c:numRef>
          </c:cat>
          <c:val>
            <c:numRef>
              <c:f>予定工数履歴!$D$2:$G$2</c:f>
              <c:numCache>
                <c:formatCode>General</c:formatCode>
                <c:ptCount val="4"/>
                <c:pt idx="0">
                  <c:v>32</c:v>
                </c:pt>
                <c:pt idx="1">
                  <c:v>160</c:v>
                </c:pt>
                <c:pt idx="2">
                  <c:v>322</c:v>
                </c:pt>
                <c:pt idx="3">
                  <c:v>418</c:v>
                </c:pt>
              </c:numCache>
            </c:numRef>
          </c:val>
        </c:ser>
        <c:ser>
          <c:idx val="1"/>
          <c:order val="1"/>
          <c:tx>
            <c:v>残り工数計</c:v>
          </c:tx>
          <c:spPr>
            <a:ln w="25400">
              <a:solidFill>
                <a:srgbClr val="FF00FF"/>
              </a:solidFill>
              <a:prstDash val="solid"/>
            </a:ln>
          </c:spPr>
          <c:marker>
            <c:symbol val="square"/>
            <c:size val="7"/>
            <c:spPr>
              <a:solidFill>
                <a:srgbClr val="FF00FF"/>
              </a:solidFill>
              <a:ln>
                <a:solidFill>
                  <a:srgbClr val="FF00FF"/>
                </a:solidFill>
                <a:prstDash val="solid"/>
              </a:ln>
            </c:spPr>
          </c:marker>
          <c:cat>
            <c:numRef>
              <c:f>予定工数履歴!$D$1:$G$1</c:f>
              <c:numCache>
                <c:formatCode>yyyy/mm/dd</c:formatCode>
                <c:ptCount val="4"/>
                <c:pt idx="0">
                  <c:v>42065</c:v>
                </c:pt>
                <c:pt idx="1">
                  <c:v>42069</c:v>
                </c:pt>
                <c:pt idx="2">
                  <c:v>42076</c:v>
                </c:pt>
                <c:pt idx="3">
                  <c:v>42081</c:v>
                </c:pt>
              </c:numCache>
            </c:numRef>
          </c:cat>
          <c:val>
            <c:numRef>
              <c:f>予定工数履歴!$D$3:$G$3</c:f>
              <c:numCache>
                <c:formatCode>General</c:formatCode>
                <c:ptCount val="4"/>
                <c:pt idx="0">
                  <c:v>448</c:v>
                </c:pt>
                <c:pt idx="1">
                  <c:v>328</c:v>
                </c:pt>
                <c:pt idx="2">
                  <c:v>174</c:v>
                </c:pt>
                <c:pt idx="3">
                  <c:v>98</c:v>
                </c:pt>
              </c:numCache>
            </c:numRef>
          </c:val>
        </c:ser>
        <c:ser>
          <c:idx val="2"/>
          <c:order val="2"/>
          <c:tx>
            <c:v>予定工数計</c:v>
          </c:tx>
          <c:spPr>
            <a:ln w="25400">
              <a:solidFill>
                <a:srgbClr val="99CC00"/>
              </a:solidFill>
              <a:prstDash val="solid"/>
            </a:ln>
          </c:spPr>
          <c:marker>
            <c:symbol val="triangle"/>
            <c:size val="7"/>
            <c:spPr>
              <a:solidFill>
                <a:srgbClr val="99CC00"/>
              </a:solidFill>
              <a:ln>
                <a:solidFill>
                  <a:srgbClr val="99CC00"/>
                </a:solidFill>
                <a:prstDash val="solid"/>
              </a:ln>
            </c:spPr>
          </c:marker>
          <c:cat>
            <c:numRef>
              <c:f>予定工数履歴!$D$1:$G$1</c:f>
              <c:numCache>
                <c:formatCode>yyyy/mm/dd</c:formatCode>
                <c:ptCount val="4"/>
                <c:pt idx="0">
                  <c:v>42065</c:v>
                </c:pt>
                <c:pt idx="1">
                  <c:v>42069</c:v>
                </c:pt>
                <c:pt idx="2">
                  <c:v>42076</c:v>
                </c:pt>
                <c:pt idx="3">
                  <c:v>42081</c:v>
                </c:pt>
              </c:numCache>
            </c:numRef>
          </c:cat>
          <c:val>
            <c:numRef>
              <c:f>予定工数履歴!$D$4:$G$4</c:f>
              <c:numCache>
                <c:formatCode>General</c:formatCode>
                <c:ptCount val="4"/>
                <c:pt idx="0">
                  <c:v>480</c:v>
                </c:pt>
                <c:pt idx="1">
                  <c:v>488</c:v>
                </c:pt>
                <c:pt idx="2">
                  <c:v>496</c:v>
                </c:pt>
                <c:pt idx="3">
                  <c:v>516</c:v>
                </c:pt>
              </c:numCache>
            </c:numRef>
          </c:val>
        </c:ser>
        <c:marker val="1"/>
        <c:axId val="105582976"/>
        <c:axId val="105584896"/>
      </c:lineChart>
      <c:catAx>
        <c:axId val="105582976"/>
        <c:scaling>
          <c:orientation val="minMax"/>
        </c:scaling>
        <c:axPos val="b"/>
        <c:majorGridlines>
          <c:spPr>
            <a:ln w="3175">
              <a:solidFill>
                <a:srgbClr val="808080"/>
              </a:solidFill>
              <a:prstDash val="solid"/>
            </a:ln>
          </c:spPr>
        </c:majorGridlines>
        <c:numFmt formatCode="yyyy/mm/dd" sourceLinked="1"/>
        <c:majorTickMark val="in"/>
        <c:tickLblPos val="nextTo"/>
        <c:spPr>
          <a:ln w="3175">
            <a:solidFill>
              <a:srgbClr val="808080"/>
            </a:solidFill>
            <a:prstDash val="solid"/>
          </a:ln>
        </c:spPr>
        <c:txPr>
          <a:bodyPr rot="0" vert="horz"/>
          <a:lstStyle/>
          <a:p>
            <a:pPr>
              <a:defRPr sz="1200" b="0" i="0" u="none" strike="noStrike" baseline="0">
                <a:solidFill>
                  <a:srgbClr val="000000"/>
                </a:solidFill>
                <a:latin typeface="ＭＳ Ｐゴシック"/>
                <a:ea typeface="ＭＳ Ｐゴシック"/>
                <a:cs typeface="ＭＳ Ｐゴシック"/>
              </a:defRPr>
            </a:pPr>
            <a:endParaRPr lang="ja-JP"/>
          </a:p>
        </c:txPr>
        <c:crossAx val="105584896"/>
        <c:crosses val="autoZero"/>
        <c:lblAlgn val="ctr"/>
        <c:lblOffset val="100"/>
        <c:tickLblSkip val="1"/>
        <c:tickMarkSkip val="1"/>
      </c:catAx>
      <c:valAx>
        <c:axId val="105584896"/>
        <c:scaling>
          <c:orientation val="minMax"/>
        </c:scaling>
        <c:axPos val="l"/>
        <c:majorGridlines>
          <c:spPr>
            <a:ln w="3175">
              <a:solidFill>
                <a:srgbClr val="808080"/>
              </a:solidFill>
              <a:prstDash val="solid"/>
            </a:ln>
          </c:spPr>
        </c:majorGridlines>
        <c:numFmt formatCode="General" sourceLinked="1"/>
        <c:majorTickMark val="in"/>
        <c:tickLblPos val="nextTo"/>
        <c:spPr>
          <a:ln w="3175">
            <a:solidFill>
              <a:srgbClr val="808080"/>
            </a:solidFill>
            <a:prstDash val="solid"/>
          </a:ln>
        </c:spPr>
        <c:txPr>
          <a:bodyPr rot="0" vert="horz"/>
          <a:lstStyle/>
          <a:p>
            <a:pPr>
              <a:defRPr sz="1200" b="0" i="0" u="none" strike="noStrike" baseline="0">
                <a:solidFill>
                  <a:srgbClr val="000000"/>
                </a:solidFill>
                <a:latin typeface="ＭＳ Ｐゴシック"/>
                <a:ea typeface="ＭＳ Ｐゴシック"/>
                <a:cs typeface="ＭＳ Ｐゴシック"/>
              </a:defRPr>
            </a:pPr>
            <a:endParaRPr lang="ja-JP"/>
          </a:p>
        </c:txPr>
        <c:crossAx val="105582976"/>
        <c:crosses val="autoZero"/>
        <c:crossBetween val="midCat"/>
      </c:valAx>
      <c:spPr>
        <a:solidFill>
          <a:srgbClr val="FFFFFF"/>
        </a:solidFill>
        <a:ln w="12700">
          <a:solidFill>
            <a:srgbClr val="808080"/>
          </a:solidFill>
          <a:prstDash val="solid"/>
        </a:ln>
      </c:spPr>
    </c:plotArea>
    <c:legend>
      <c:legendPos val="t"/>
      <c:layout>
        <c:manualLayout>
          <c:xMode val="edge"/>
          <c:yMode val="edge"/>
          <c:x val="0.23494894191237312"/>
          <c:y val="1.9607890069436633E-2"/>
          <c:w val="0.53010355018979183"/>
          <c:h val="5.8823670208309899E-2"/>
        </c:manualLayout>
      </c:layout>
      <c:spPr>
        <a:solidFill>
          <a:srgbClr val="FFFFFF"/>
        </a:solidFill>
        <a:ln w="3175">
          <a:solidFill>
            <a:srgbClr val="000000"/>
          </a:solidFill>
          <a:prstDash val="solid"/>
        </a:ln>
      </c:spPr>
      <c:txPr>
        <a:bodyPr/>
        <a:lstStyle/>
        <a:p>
          <a:pPr>
            <a:defRPr sz="1100" b="0" i="0" u="none" strike="noStrike" baseline="0">
              <a:solidFill>
                <a:srgbClr val="000000"/>
              </a:solidFill>
              <a:latin typeface="ＭＳ Ｐゴシック"/>
              <a:ea typeface="ＭＳ Ｐゴシック"/>
              <a:cs typeface="ＭＳ Ｐゴシック"/>
            </a:defRPr>
          </a:pPr>
          <a:endParaRPr lang="ja-JP"/>
        </a:p>
      </c:txPr>
    </c:legend>
    <c:plotVisOnly val="1"/>
    <c:dispBlanksAs val="gap"/>
  </c:chart>
  <c:spPr>
    <a:solidFill>
      <a:srgbClr val="FFFFFF"/>
    </a:solidFill>
    <a:ln w="3175">
      <a:solidFill>
        <a:srgbClr val="000000"/>
      </a:solidFill>
      <a:prstDash val="solid"/>
    </a:ln>
  </c:spPr>
  <c:txPr>
    <a:bodyPr/>
    <a:lstStyle/>
    <a:p>
      <a:pPr>
        <a:defRPr sz="1200" b="0" i="0" u="none" strike="noStrike" baseline="0">
          <a:solidFill>
            <a:srgbClr val="000000"/>
          </a:solidFill>
          <a:latin typeface="ＭＳ Ｐゴシック"/>
          <a:ea typeface="ＭＳ Ｐゴシック"/>
          <a:cs typeface="ＭＳ Ｐゴシック"/>
        </a:defRPr>
      </a:pPr>
      <a:endParaRPr lang="ja-JP"/>
    </a:p>
  </c:txPr>
  <c:printSettings>
    <c:headerFooter alignWithMargins="0"/>
    <c:pageMargins b="0.98399999999999999" l="0.78700000000000003" r="0.78700000000000003" t="0.98399999999999999" header="0.51200000000000001" footer="0.51200000000000001"/>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ja-JP"/>
  <c:chart>
    <c:plotArea>
      <c:layout>
        <c:manualLayout>
          <c:layoutTarget val="inner"/>
          <c:xMode val="edge"/>
          <c:yMode val="edge"/>
          <c:x val="8.3700560556282916E-2"/>
          <c:y val="0.13235325796869726"/>
          <c:w val="0.83406874378892448"/>
          <c:h val="0.75245278141463079"/>
        </c:manualLayout>
      </c:layout>
      <c:areaChart>
        <c:grouping val="stacked"/>
        <c:ser>
          <c:idx val="0"/>
          <c:order val="0"/>
          <c:tx>
            <c:v>安全</c:v>
          </c:tx>
          <c:spPr>
            <a:solidFill>
              <a:srgbClr val="CCFFCC"/>
            </a:solidFill>
            <a:ln w="25400">
              <a:noFill/>
            </a:ln>
          </c:spPr>
          <c:cat>
            <c:numRef>
              <c:f>予定工数履歴!$D$1:$G$1</c:f>
              <c:numCache>
                <c:formatCode>yyyy/mm/dd</c:formatCode>
                <c:ptCount val="4"/>
                <c:pt idx="0">
                  <c:v>42065</c:v>
                </c:pt>
                <c:pt idx="1">
                  <c:v>42069</c:v>
                </c:pt>
                <c:pt idx="2">
                  <c:v>42076</c:v>
                </c:pt>
                <c:pt idx="3">
                  <c:v>42081</c:v>
                </c:pt>
              </c:numCache>
            </c:numRef>
          </c:cat>
          <c:val>
            <c:numLit>
              <c:formatCode>General</c:formatCode>
              <c:ptCount val="4"/>
              <c:pt idx="0">
                <c:v>19</c:v>
              </c:pt>
              <c:pt idx="1">
                <c:v>35</c:v>
              </c:pt>
              <c:pt idx="2">
                <c:v>54</c:v>
              </c:pt>
              <c:pt idx="3">
                <c:v>64</c:v>
              </c:pt>
            </c:numLit>
          </c:val>
        </c:ser>
        <c:ser>
          <c:idx val="1"/>
          <c:order val="1"/>
          <c:tx>
            <c:v>注意</c:v>
          </c:tx>
          <c:spPr>
            <a:solidFill>
              <a:srgbClr val="FFFF99"/>
            </a:solidFill>
            <a:ln w="25400">
              <a:noFill/>
            </a:ln>
          </c:spPr>
          <c:val>
            <c:numLit>
              <c:formatCode>General</c:formatCode>
              <c:ptCount val="4"/>
              <c:pt idx="0">
                <c:v>15</c:v>
              </c:pt>
              <c:pt idx="1">
                <c:v>15</c:v>
              </c:pt>
              <c:pt idx="2">
                <c:v>15</c:v>
              </c:pt>
              <c:pt idx="3">
                <c:v>15</c:v>
              </c:pt>
            </c:numLit>
          </c:val>
        </c:ser>
        <c:ser>
          <c:idx val="2"/>
          <c:order val="2"/>
          <c:tx>
            <c:v>危険</c:v>
          </c:tx>
          <c:spPr>
            <a:solidFill>
              <a:srgbClr val="FF99CC"/>
            </a:solidFill>
            <a:ln w="25400">
              <a:noFill/>
            </a:ln>
          </c:spPr>
          <c:val>
            <c:numLit>
              <c:formatCode>General</c:formatCode>
              <c:ptCount val="4"/>
              <c:pt idx="0">
                <c:v>66</c:v>
              </c:pt>
              <c:pt idx="1">
                <c:v>50</c:v>
              </c:pt>
              <c:pt idx="2">
                <c:v>31</c:v>
              </c:pt>
              <c:pt idx="3">
                <c:v>21</c:v>
              </c:pt>
            </c:numLit>
          </c:val>
        </c:ser>
        <c:axId val="108417024"/>
        <c:axId val="108418944"/>
      </c:areaChart>
      <c:lineChart>
        <c:grouping val="standard"/>
        <c:ser>
          <c:idx val="3"/>
          <c:order val="3"/>
          <c:tx>
            <c:v>バッファ消費率</c:v>
          </c:tx>
          <c:spPr>
            <a:ln w="25400">
              <a:solidFill>
                <a:srgbClr val="FF6600"/>
              </a:solidFill>
              <a:prstDash val="solid"/>
            </a:ln>
          </c:spPr>
          <c:marker>
            <c:symbol val="square"/>
            <c:size val="7"/>
            <c:spPr>
              <a:solidFill>
                <a:srgbClr val="FF6600"/>
              </a:solidFill>
              <a:ln w="9525">
                <a:noFill/>
              </a:ln>
            </c:spPr>
          </c:marker>
          <c:val>
            <c:numRef>
              <c:f>予定工数履歴!$D$5:$G$5</c:f>
              <c:numCache>
                <c:formatCode>General</c:formatCode>
                <c:ptCount val="4"/>
                <c:pt idx="0">
                  <c:v>0</c:v>
                </c:pt>
                <c:pt idx="1">
                  <c:v>17</c:v>
                </c:pt>
                <c:pt idx="2">
                  <c:v>33</c:v>
                </c:pt>
                <c:pt idx="3">
                  <c:v>75</c:v>
                </c:pt>
              </c:numCache>
            </c:numRef>
          </c:val>
        </c:ser>
        <c:marker val="1"/>
        <c:axId val="108417024"/>
        <c:axId val="108418944"/>
      </c:lineChart>
      <c:catAx>
        <c:axId val="108417024"/>
        <c:scaling>
          <c:orientation val="minMax"/>
        </c:scaling>
        <c:axPos val="b"/>
        <c:majorGridlines>
          <c:spPr>
            <a:ln w="3175">
              <a:solidFill>
                <a:srgbClr val="808080"/>
              </a:solidFill>
              <a:prstDash val="solid"/>
            </a:ln>
          </c:spPr>
        </c:majorGridlines>
        <c:numFmt formatCode="yyyy/mm/dd" sourceLinked="1"/>
        <c:majorTickMark val="in"/>
        <c:tickLblPos val="nextTo"/>
        <c:spPr>
          <a:ln w="3175">
            <a:solidFill>
              <a:srgbClr val="808080"/>
            </a:solidFill>
            <a:prstDash val="solid"/>
          </a:ln>
        </c:spPr>
        <c:txPr>
          <a:bodyPr rot="0" vert="horz"/>
          <a:lstStyle/>
          <a:p>
            <a:pPr>
              <a:defRPr sz="1200" b="0" i="0" u="none" strike="noStrike" baseline="0">
                <a:solidFill>
                  <a:srgbClr val="000000"/>
                </a:solidFill>
                <a:latin typeface="ＭＳ Ｐゴシック"/>
                <a:ea typeface="ＭＳ Ｐゴシック"/>
                <a:cs typeface="ＭＳ Ｐゴシック"/>
              </a:defRPr>
            </a:pPr>
            <a:endParaRPr lang="ja-JP"/>
          </a:p>
        </c:txPr>
        <c:crossAx val="108418944"/>
        <c:crosses val="autoZero"/>
        <c:lblAlgn val="ctr"/>
        <c:lblOffset val="100"/>
        <c:tickLblSkip val="1"/>
        <c:tickMarkSkip val="1"/>
      </c:catAx>
      <c:valAx>
        <c:axId val="108418944"/>
        <c:scaling>
          <c:orientation val="minMax"/>
          <c:max val="100"/>
        </c:scaling>
        <c:axPos val="l"/>
        <c:majorGridlines>
          <c:spPr>
            <a:ln w="3175">
              <a:solidFill>
                <a:srgbClr val="808080"/>
              </a:solidFill>
              <a:prstDash val="solid"/>
            </a:ln>
          </c:spPr>
        </c:majorGridlines>
        <c:numFmt formatCode="General" sourceLinked="1"/>
        <c:majorTickMark val="in"/>
        <c:tickLblPos val="nextTo"/>
        <c:spPr>
          <a:ln w="3175">
            <a:solidFill>
              <a:srgbClr val="808080"/>
            </a:solidFill>
            <a:prstDash val="solid"/>
          </a:ln>
        </c:spPr>
        <c:txPr>
          <a:bodyPr rot="0" vert="horz"/>
          <a:lstStyle/>
          <a:p>
            <a:pPr>
              <a:defRPr sz="1200" b="0" i="0" u="none" strike="noStrike" baseline="0">
                <a:solidFill>
                  <a:srgbClr val="000000"/>
                </a:solidFill>
                <a:latin typeface="ＭＳ Ｐゴシック"/>
                <a:ea typeface="ＭＳ Ｐゴシック"/>
                <a:cs typeface="ＭＳ Ｐゴシック"/>
              </a:defRPr>
            </a:pPr>
            <a:endParaRPr lang="ja-JP"/>
          </a:p>
        </c:txPr>
        <c:crossAx val="108417024"/>
        <c:crosses val="autoZero"/>
        <c:crossBetween val="midCat"/>
      </c:valAx>
      <c:spPr>
        <a:solidFill>
          <a:srgbClr val="C0C0C0"/>
        </a:solidFill>
        <a:ln w="12700">
          <a:solidFill>
            <a:srgbClr val="808080"/>
          </a:solidFill>
          <a:prstDash val="solid"/>
        </a:ln>
      </c:spPr>
    </c:plotArea>
    <c:legend>
      <c:legendPos val="t"/>
      <c:layout>
        <c:manualLayout>
          <c:xMode val="edge"/>
          <c:yMode val="edge"/>
          <c:x val="0.23494894191237312"/>
          <c:y val="1.9607890069436633E-2"/>
          <c:w val="0.53157198107674419"/>
          <c:h val="5.8823670208309899E-2"/>
        </c:manualLayout>
      </c:layout>
      <c:spPr>
        <a:solidFill>
          <a:srgbClr val="FFFFFF"/>
        </a:solidFill>
        <a:ln w="3175">
          <a:solidFill>
            <a:srgbClr val="000000"/>
          </a:solidFill>
          <a:prstDash val="solid"/>
        </a:ln>
      </c:spPr>
      <c:txPr>
        <a:bodyPr/>
        <a:lstStyle/>
        <a:p>
          <a:pPr>
            <a:defRPr sz="1100" b="0" i="0" u="none" strike="noStrike" baseline="0">
              <a:solidFill>
                <a:srgbClr val="000000"/>
              </a:solidFill>
              <a:latin typeface="ＭＳ Ｐゴシック"/>
              <a:ea typeface="ＭＳ Ｐゴシック"/>
              <a:cs typeface="ＭＳ Ｐゴシック"/>
            </a:defRPr>
          </a:pPr>
          <a:endParaRPr lang="ja-JP"/>
        </a:p>
      </c:txPr>
    </c:legend>
    <c:plotVisOnly val="1"/>
    <c:dispBlanksAs val="gap"/>
  </c:chart>
  <c:spPr>
    <a:solidFill>
      <a:srgbClr val="FFFFFF"/>
    </a:solidFill>
    <a:ln w="3175">
      <a:solidFill>
        <a:srgbClr val="000000"/>
      </a:solidFill>
      <a:prstDash val="solid"/>
    </a:ln>
  </c:spPr>
  <c:txPr>
    <a:bodyPr/>
    <a:lstStyle/>
    <a:p>
      <a:pPr>
        <a:defRPr sz="1200" b="0" i="0" u="none" strike="noStrike" baseline="0">
          <a:solidFill>
            <a:srgbClr val="000000"/>
          </a:solidFill>
          <a:latin typeface="ＭＳ Ｐゴシック"/>
          <a:ea typeface="ＭＳ Ｐゴシック"/>
          <a:cs typeface="ＭＳ Ｐゴシック"/>
        </a:defRPr>
      </a:pPr>
      <a:endParaRPr lang="ja-JP"/>
    </a:p>
  </c:txPr>
  <c:printSettings>
    <c:headerFooter alignWithMargins="0"/>
    <c:pageMargins b="0.98399999999999999" l="0.78700000000000003" r="0.78700000000000003" t="0.98399999999999999" header="0.51200000000000001" footer="0.51200000000000001"/>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10</xdr:col>
      <xdr:colOff>38100</xdr:colOff>
      <xdr:row>16</xdr:row>
      <xdr:rowOff>76200</xdr:rowOff>
    </xdr:from>
    <xdr:to>
      <xdr:col>18</xdr:col>
      <xdr:colOff>638175</xdr:colOff>
      <xdr:row>39</xdr:row>
      <xdr:rowOff>19050</xdr:rowOff>
    </xdr:to>
    <xdr:graphicFrame macro="">
      <xdr:nvGraphicFramePr>
        <xdr:cNvPr id="3250" name="Chart 17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38100</xdr:colOff>
      <xdr:row>39</xdr:row>
      <xdr:rowOff>142875</xdr:rowOff>
    </xdr:from>
    <xdr:to>
      <xdr:col>18</xdr:col>
      <xdr:colOff>638175</xdr:colOff>
      <xdr:row>62</xdr:row>
      <xdr:rowOff>85725</xdr:rowOff>
    </xdr:to>
    <xdr:graphicFrame macro="">
      <xdr:nvGraphicFramePr>
        <xdr:cNvPr id="3251" name="Chart 17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7"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6" Type="http://schemas.openxmlformats.org/officeDocument/2006/relationships/control" Target="../activeX/activeX4.xml"/><Relationship Id="rId5" Type="http://schemas.openxmlformats.org/officeDocument/2006/relationships/control" Target="../activeX/activeX3.xml"/><Relationship Id="rId4"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www.h3.dion.ne.jp/~sakatsu/holiday_topic.htm" TargetMode="External"/><Relationship Id="rId5" Type="http://schemas.openxmlformats.org/officeDocument/2006/relationships/comments" Target="../comments2.xml"/><Relationship Id="rId4"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sheetPr codeName="Sheet1">
    <pageSetUpPr fitToPage="1"/>
  </sheetPr>
  <dimension ref="A1:AA25"/>
  <sheetViews>
    <sheetView tabSelected="1" zoomScale="70" workbookViewId="0">
      <pane xSplit="3" ySplit="1" topLeftCell="D2" activePane="bottomRight" state="frozen"/>
      <selection pane="topRight" activeCell="D1" sqref="D1"/>
      <selection pane="bottomLeft" activeCell="A2" sqref="A2"/>
      <selection pane="bottomRight" activeCell="G3" sqref="G3"/>
    </sheetView>
  </sheetViews>
  <sheetFormatPr defaultRowHeight="13.5"/>
  <cols>
    <col min="1" max="1" width="5.875" style="16" bestFit="1" customWidth="1"/>
    <col min="2" max="3" width="5.875" style="6" bestFit="1" customWidth="1"/>
    <col min="4" max="4" width="12.875" style="5" bestFit="1" customWidth="1"/>
    <col min="5" max="5" width="11.25" style="5" bestFit="1" customWidth="1"/>
    <col min="6" max="6" width="10.625" style="5" hidden="1" customWidth="1"/>
    <col min="7" max="7" width="12" style="5" bestFit="1" customWidth="1"/>
    <col min="8" max="8" width="9.375" style="5" bestFit="1" customWidth="1"/>
    <col min="9" max="9" width="30.625" style="5" customWidth="1"/>
    <col min="10" max="11" width="9.375" style="5" bestFit="1" customWidth="1"/>
    <col min="12" max="12" width="15.625" style="32" customWidth="1"/>
    <col min="13" max="13" width="10.125" style="5" bestFit="1" customWidth="1"/>
    <col min="14" max="14" width="16" style="5" bestFit="1" customWidth="1"/>
    <col min="15" max="16" width="11.625" style="3" bestFit="1" customWidth="1"/>
    <col min="17" max="17" width="11.125" bestFit="1" customWidth="1"/>
    <col min="18" max="18" width="10.625" style="5" hidden="1" customWidth="1"/>
    <col min="19" max="19" width="9.375" hidden="1" customWidth="1"/>
    <col min="20" max="21" width="15.625" style="32" hidden="1" customWidth="1"/>
    <col min="22" max="23" width="7.375" style="6" hidden="1" customWidth="1"/>
    <col min="24" max="24" width="11.125" bestFit="1" customWidth="1"/>
    <col min="25" max="25" width="6.5" style="5" hidden="1" customWidth="1"/>
    <col min="26" max="26" width="30.625" style="5" customWidth="1"/>
    <col min="27" max="27" width="5.875" style="6" customWidth="1"/>
  </cols>
  <sheetData>
    <row r="1" spans="1:27" ht="27" customHeight="1">
      <c r="A1" s="15" t="s">
        <v>15</v>
      </c>
      <c r="B1" s="7" t="s">
        <v>16</v>
      </c>
      <c r="C1" s="7" t="s">
        <v>18</v>
      </c>
      <c r="D1" s="4" t="s">
        <v>12</v>
      </c>
      <c r="E1" s="4" t="s">
        <v>7</v>
      </c>
      <c r="F1" s="37" t="s">
        <v>103</v>
      </c>
      <c r="G1" s="4" t="s">
        <v>8</v>
      </c>
      <c r="H1" s="4" t="s">
        <v>6</v>
      </c>
      <c r="I1" s="4" t="s">
        <v>0</v>
      </c>
      <c r="J1" s="4" t="s">
        <v>4</v>
      </c>
      <c r="K1" s="4" t="s">
        <v>2</v>
      </c>
      <c r="L1" s="31" t="s">
        <v>14</v>
      </c>
      <c r="M1" s="4" t="s">
        <v>5</v>
      </c>
      <c r="N1" s="4" t="s">
        <v>3</v>
      </c>
      <c r="O1" s="2" t="s">
        <v>9</v>
      </c>
      <c r="P1" s="2" t="s">
        <v>10</v>
      </c>
      <c r="Q1" s="1" t="s">
        <v>11</v>
      </c>
      <c r="R1" s="37" t="s">
        <v>73</v>
      </c>
      <c r="S1" s="1" t="s">
        <v>63</v>
      </c>
      <c r="T1" s="38" t="s">
        <v>13</v>
      </c>
      <c r="U1" s="38" t="s">
        <v>66</v>
      </c>
      <c r="V1" s="39" t="s">
        <v>74</v>
      </c>
      <c r="W1" s="39" t="s">
        <v>64</v>
      </c>
      <c r="X1" s="1" t="s">
        <v>65</v>
      </c>
      <c r="Y1" s="37" t="s">
        <v>75</v>
      </c>
      <c r="Z1" s="4" t="s">
        <v>1</v>
      </c>
      <c r="AA1" s="7" t="s">
        <v>17</v>
      </c>
    </row>
    <row r="2" spans="1:27">
      <c r="A2" s="16">
        <v>1</v>
      </c>
      <c r="C2" s="6">
        <v>14660</v>
      </c>
      <c r="D2" s="5" t="s">
        <v>78</v>
      </c>
      <c r="E2" s="5" t="s">
        <v>79</v>
      </c>
      <c r="G2" s="5" t="s">
        <v>126</v>
      </c>
      <c r="H2" s="5" t="s">
        <v>81</v>
      </c>
      <c r="I2" s="5" t="s">
        <v>82</v>
      </c>
      <c r="J2" s="5" t="s">
        <v>83</v>
      </c>
      <c r="K2" s="5" t="s">
        <v>84</v>
      </c>
      <c r="L2" s="32">
        <v>42088.567361111112</v>
      </c>
      <c r="N2" s="5" t="s">
        <v>85</v>
      </c>
      <c r="O2" s="3">
        <v>42065</v>
      </c>
      <c r="P2" s="3">
        <v>42072</v>
      </c>
      <c r="Q2">
        <v>48</v>
      </c>
      <c r="R2" s="5">
        <v>0</v>
      </c>
      <c r="S2">
        <v>0</v>
      </c>
      <c r="T2" s="32">
        <v>42088.567361111112</v>
      </c>
      <c r="X2">
        <v>40</v>
      </c>
      <c r="Y2" s="5" t="b">
        <v>0</v>
      </c>
    </row>
    <row r="3" spans="1:27">
      <c r="A3" s="16">
        <v>2</v>
      </c>
      <c r="C3" s="6">
        <v>14661</v>
      </c>
      <c r="D3" s="5" t="s">
        <v>78</v>
      </c>
      <c r="E3" s="5" t="s">
        <v>79</v>
      </c>
      <c r="G3" s="5" t="s">
        <v>80</v>
      </c>
      <c r="H3" s="5" t="s">
        <v>81</v>
      </c>
      <c r="I3" s="5" t="s">
        <v>86</v>
      </c>
      <c r="J3" s="5" t="s">
        <v>83</v>
      </c>
      <c r="K3" s="5" t="s">
        <v>84</v>
      </c>
      <c r="L3" s="32">
        <v>42088.567361111112</v>
      </c>
      <c r="N3" s="5" t="s">
        <v>85</v>
      </c>
      <c r="O3" s="3">
        <v>42073</v>
      </c>
      <c r="P3" s="3">
        <v>42080</v>
      </c>
      <c r="Q3">
        <v>48</v>
      </c>
      <c r="R3" s="5">
        <v>0</v>
      </c>
      <c r="S3">
        <v>0</v>
      </c>
      <c r="T3" s="32">
        <v>42088.567361111112</v>
      </c>
      <c r="X3">
        <v>40</v>
      </c>
      <c r="Y3" s="5" t="b">
        <v>0</v>
      </c>
    </row>
    <row r="4" spans="1:27">
      <c r="A4" s="16">
        <v>3</v>
      </c>
      <c r="C4" s="6">
        <v>14662</v>
      </c>
      <c r="D4" s="5" t="s">
        <v>78</v>
      </c>
      <c r="E4" s="5" t="s">
        <v>79</v>
      </c>
      <c r="G4" s="5" t="s">
        <v>80</v>
      </c>
      <c r="H4" s="5" t="s">
        <v>81</v>
      </c>
      <c r="I4" s="5" t="s">
        <v>87</v>
      </c>
      <c r="J4" s="5" t="s">
        <v>83</v>
      </c>
      <c r="K4" s="5" t="s">
        <v>84</v>
      </c>
      <c r="L4" s="32">
        <v>42088.567361111112</v>
      </c>
      <c r="N4" s="5" t="s">
        <v>85</v>
      </c>
      <c r="O4" s="3">
        <v>42081</v>
      </c>
      <c r="P4" s="3">
        <v>42087</v>
      </c>
      <c r="Q4">
        <v>40</v>
      </c>
      <c r="R4" s="5">
        <v>0</v>
      </c>
      <c r="S4">
        <v>0</v>
      </c>
      <c r="T4" s="32">
        <v>42088.567361111112</v>
      </c>
      <c r="X4">
        <v>40</v>
      </c>
      <c r="Y4" s="5" t="b">
        <v>0</v>
      </c>
    </row>
    <row r="5" spans="1:27">
      <c r="A5" s="16">
        <v>4</v>
      </c>
      <c r="C5" s="6">
        <v>14663</v>
      </c>
      <c r="D5" s="5" t="s">
        <v>78</v>
      </c>
      <c r="E5" s="5" t="s">
        <v>79</v>
      </c>
      <c r="G5" s="5" t="s">
        <v>80</v>
      </c>
      <c r="H5" s="5" t="s">
        <v>81</v>
      </c>
      <c r="I5" s="5" t="s">
        <v>45</v>
      </c>
      <c r="J5" s="5" t="s">
        <v>83</v>
      </c>
      <c r="K5" s="5" t="s">
        <v>88</v>
      </c>
      <c r="L5" s="32">
        <v>42088.567361111112</v>
      </c>
      <c r="N5" s="5" t="s">
        <v>85</v>
      </c>
      <c r="O5" s="3">
        <v>42079</v>
      </c>
      <c r="P5" s="3">
        <v>42083</v>
      </c>
      <c r="Q5">
        <v>40</v>
      </c>
      <c r="R5" s="5">
        <v>0</v>
      </c>
      <c r="S5">
        <v>0</v>
      </c>
      <c r="T5" s="32">
        <v>42088.567361111112</v>
      </c>
      <c r="X5">
        <v>40</v>
      </c>
      <c r="Y5" s="5" t="b">
        <v>0</v>
      </c>
    </row>
    <row r="6" spans="1:27">
      <c r="A6" s="16">
        <v>5</v>
      </c>
      <c r="B6" s="6" t="s">
        <v>54</v>
      </c>
      <c r="C6" s="6">
        <v>14664</v>
      </c>
      <c r="D6" s="5" t="s">
        <v>78</v>
      </c>
      <c r="E6" s="5" t="s">
        <v>79</v>
      </c>
      <c r="G6" s="5" t="s">
        <v>80</v>
      </c>
      <c r="H6" s="5" t="s">
        <v>81</v>
      </c>
      <c r="I6" s="5" t="s">
        <v>46</v>
      </c>
      <c r="J6" s="5" t="s">
        <v>83</v>
      </c>
      <c r="K6" s="5" t="s">
        <v>88</v>
      </c>
      <c r="L6" s="32">
        <v>42088.567361111112</v>
      </c>
      <c r="N6" s="5" t="s">
        <v>85</v>
      </c>
      <c r="O6" s="3">
        <v>42072</v>
      </c>
      <c r="P6" s="3">
        <v>42076</v>
      </c>
      <c r="Q6">
        <v>40</v>
      </c>
      <c r="R6" s="5">
        <v>0</v>
      </c>
      <c r="S6">
        <v>0</v>
      </c>
      <c r="T6" s="32">
        <v>42088.567361111112</v>
      </c>
      <c r="X6">
        <v>40</v>
      </c>
      <c r="Y6" s="5" t="b">
        <v>0</v>
      </c>
    </row>
    <row r="7" spans="1:27">
      <c r="A7" s="16">
        <v>6</v>
      </c>
      <c r="B7" s="6" t="s">
        <v>53</v>
      </c>
      <c r="C7" s="6">
        <v>14665</v>
      </c>
      <c r="D7" s="5" t="s">
        <v>78</v>
      </c>
      <c r="E7" s="5" t="s">
        <v>79</v>
      </c>
      <c r="G7" s="5" t="s">
        <v>80</v>
      </c>
      <c r="H7" s="5" t="s">
        <v>81</v>
      </c>
      <c r="I7" s="5" t="s">
        <v>47</v>
      </c>
      <c r="J7" s="5" t="s">
        <v>83</v>
      </c>
      <c r="K7" s="5" t="s">
        <v>88</v>
      </c>
      <c r="L7" s="32">
        <v>42088.567361111112</v>
      </c>
      <c r="N7" s="5" t="s">
        <v>85</v>
      </c>
      <c r="O7" s="3">
        <v>42065</v>
      </c>
      <c r="P7" s="3">
        <v>42069</v>
      </c>
      <c r="Q7">
        <v>40</v>
      </c>
      <c r="R7" s="5">
        <v>0</v>
      </c>
      <c r="S7">
        <v>0</v>
      </c>
      <c r="T7" s="32">
        <v>42088.567361111112</v>
      </c>
      <c r="X7">
        <v>40</v>
      </c>
      <c r="Y7" s="5" t="b">
        <v>0</v>
      </c>
    </row>
    <row r="8" spans="1:27">
      <c r="A8" s="16">
        <v>7</v>
      </c>
      <c r="C8" s="6">
        <v>14666</v>
      </c>
      <c r="D8" s="5" t="s">
        <v>78</v>
      </c>
      <c r="E8" s="5" t="s">
        <v>79</v>
      </c>
      <c r="G8" s="5" t="s">
        <v>80</v>
      </c>
      <c r="H8" s="5" t="s">
        <v>81</v>
      </c>
      <c r="I8" s="5" t="s">
        <v>48</v>
      </c>
      <c r="J8" s="5" t="s">
        <v>83</v>
      </c>
      <c r="K8" s="5" t="s">
        <v>89</v>
      </c>
      <c r="L8" s="32">
        <v>42088.567361111112</v>
      </c>
      <c r="N8" s="5" t="s">
        <v>85</v>
      </c>
      <c r="O8" s="3">
        <v>42065</v>
      </c>
      <c r="P8" s="3">
        <v>42069</v>
      </c>
      <c r="Q8">
        <v>40</v>
      </c>
      <c r="R8" s="5">
        <v>0</v>
      </c>
      <c r="S8">
        <v>0</v>
      </c>
      <c r="T8" s="32">
        <v>42088.567361111112</v>
      </c>
      <c r="X8">
        <v>40</v>
      </c>
      <c r="Y8" s="5" t="b">
        <v>0</v>
      </c>
    </row>
    <row r="9" spans="1:27">
      <c r="A9" s="16">
        <v>8</v>
      </c>
      <c r="C9" s="6">
        <v>14667</v>
      </c>
      <c r="D9" s="5" t="s">
        <v>78</v>
      </c>
      <c r="E9" s="5" t="s">
        <v>79</v>
      </c>
      <c r="G9" s="5" t="s">
        <v>80</v>
      </c>
      <c r="H9" s="5" t="s">
        <v>81</v>
      </c>
      <c r="I9" s="5" t="s">
        <v>49</v>
      </c>
      <c r="J9" s="5" t="s">
        <v>83</v>
      </c>
      <c r="K9" s="5" t="s">
        <v>89</v>
      </c>
      <c r="L9" s="32">
        <v>42088.567361111112</v>
      </c>
      <c r="N9" s="5" t="s">
        <v>85</v>
      </c>
      <c r="O9" s="3">
        <v>42072</v>
      </c>
      <c r="P9" s="3">
        <v>42076</v>
      </c>
      <c r="Q9">
        <v>40</v>
      </c>
      <c r="R9" s="5">
        <v>0</v>
      </c>
      <c r="S9">
        <v>0</v>
      </c>
      <c r="T9" s="32">
        <v>42088.567361111112</v>
      </c>
      <c r="X9">
        <v>40</v>
      </c>
      <c r="Y9" s="5" t="b">
        <v>0</v>
      </c>
    </row>
    <row r="10" spans="1:27">
      <c r="A10" s="16">
        <v>9</v>
      </c>
      <c r="C10" s="6">
        <v>14668</v>
      </c>
      <c r="D10" s="5" t="s">
        <v>78</v>
      </c>
      <c r="E10" s="5" t="s">
        <v>79</v>
      </c>
      <c r="G10" s="5" t="s">
        <v>80</v>
      </c>
      <c r="H10" s="5" t="s">
        <v>81</v>
      </c>
      <c r="I10" s="5" t="s">
        <v>50</v>
      </c>
      <c r="J10" s="5" t="s">
        <v>83</v>
      </c>
      <c r="K10" s="5" t="s">
        <v>89</v>
      </c>
      <c r="L10" s="32">
        <v>42088.567361111112</v>
      </c>
      <c r="N10" s="5" t="s">
        <v>85</v>
      </c>
      <c r="O10" s="3">
        <v>42079</v>
      </c>
      <c r="P10" s="3">
        <v>42083</v>
      </c>
      <c r="Q10">
        <v>40</v>
      </c>
      <c r="R10" s="5">
        <v>0</v>
      </c>
      <c r="S10">
        <v>0</v>
      </c>
      <c r="T10" s="32">
        <v>42088.567361111112</v>
      </c>
      <c r="X10">
        <v>40</v>
      </c>
      <c r="Y10" s="5" t="b">
        <v>0</v>
      </c>
    </row>
    <row r="11" spans="1:27">
      <c r="A11" s="16">
        <v>10</v>
      </c>
      <c r="C11" s="6">
        <v>14669</v>
      </c>
      <c r="D11" s="5" t="s">
        <v>78</v>
      </c>
      <c r="E11" s="5" t="s">
        <v>79</v>
      </c>
      <c r="G11" s="5" t="s">
        <v>80</v>
      </c>
      <c r="H11" s="5" t="s">
        <v>81</v>
      </c>
      <c r="I11" s="5" t="s">
        <v>90</v>
      </c>
      <c r="J11" s="5" t="s">
        <v>83</v>
      </c>
      <c r="K11" s="5" t="s">
        <v>91</v>
      </c>
      <c r="L11" s="32">
        <v>42088.567361111112</v>
      </c>
      <c r="N11" s="5" t="s">
        <v>92</v>
      </c>
      <c r="O11" s="3">
        <v>42065</v>
      </c>
      <c r="P11" s="3">
        <v>42073</v>
      </c>
      <c r="Q11">
        <v>50</v>
      </c>
      <c r="R11" s="5">
        <v>0</v>
      </c>
      <c r="S11">
        <v>0</v>
      </c>
      <c r="T11" s="32">
        <v>42088.567361111112</v>
      </c>
      <c r="X11">
        <v>40</v>
      </c>
      <c r="Y11" s="5" t="b">
        <v>0</v>
      </c>
    </row>
    <row r="12" spans="1:27">
      <c r="A12" s="16">
        <v>11</v>
      </c>
      <c r="C12" s="6">
        <v>14670</v>
      </c>
      <c r="D12" s="5" t="s">
        <v>78</v>
      </c>
      <c r="E12" s="5" t="s">
        <v>79</v>
      </c>
      <c r="G12" s="5" t="s">
        <v>80</v>
      </c>
      <c r="H12" s="5" t="s">
        <v>81</v>
      </c>
      <c r="I12" s="5" t="s">
        <v>51</v>
      </c>
      <c r="J12" s="5" t="s">
        <v>83</v>
      </c>
      <c r="K12" s="5" t="s">
        <v>91</v>
      </c>
      <c r="L12" s="32">
        <v>42088.567361111112</v>
      </c>
      <c r="N12" s="5" t="s">
        <v>92</v>
      </c>
      <c r="O12" s="3">
        <v>42073</v>
      </c>
      <c r="P12" s="3">
        <v>42080</v>
      </c>
      <c r="Q12">
        <v>40</v>
      </c>
      <c r="R12" s="5">
        <v>0</v>
      </c>
      <c r="S12">
        <v>0</v>
      </c>
      <c r="T12" s="32">
        <v>42088.567361111112</v>
      </c>
      <c r="X12">
        <v>40</v>
      </c>
      <c r="Y12" s="5" t="b">
        <v>0</v>
      </c>
    </row>
    <row r="13" spans="1:27">
      <c r="A13" s="16">
        <v>12</v>
      </c>
      <c r="C13" s="6" t="s">
        <v>124</v>
      </c>
      <c r="D13" s="5" t="s">
        <v>78</v>
      </c>
      <c r="E13" s="5" t="s">
        <v>79</v>
      </c>
      <c r="G13" s="5" t="s">
        <v>80</v>
      </c>
      <c r="H13" s="5" t="s">
        <v>81</v>
      </c>
      <c r="I13" s="5" t="s">
        <v>52</v>
      </c>
      <c r="J13" s="5" t="s">
        <v>83</v>
      </c>
      <c r="K13" s="5" t="s">
        <v>91</v>
      </c>
      <c r="L13" s="32">
        <v>42088.567361111112</v>
      </c>
      <c r="N13" s="5" t="s">
        <v>92</v>
      </c>
      <c r="O13" s="3">
        <v>42080</v>
      </c>
      <c r="P13" s="3">
        <v>42088</v>
      </c>
      <c r="Q13">
        <v>50</v>
      </c>
      <c r="R13" s="5">
        <v>0</v>
      </c>
      <c r="S13">
        <v>0</v>
      </c>
      <c r="T13" s="32">
        <v>42088.567361111112</v>
      </c>
      <c r="X13">
        <v>40</v>
      </c>
      <c r="Y13" s="5" t="b">
        <v>0</v>
      </c>
    </row>
    <row r="14" spans="1:27">
      <c r="A14" s="16">
        <v>13</v>
      </c>
      <c r="D14" s="5" t="s">
        <v>78</v>
      </c>
      <c r="E14" s="5" t="s">
        <v>79</v>
      </c>
      <c r="G14" s="5" t="s">
        <v>80</v>
      </c>
      <c r="H14" s="5" t="s">
        <v>81</v>
      </c>
      <c r="I14" s="5" t="s">
        <v>125</v>
      </c>
      <c r="J14" s="5" t="s">
        <v>83</v>
      </c>
      <c r="K14" s="5" t="s">
        <v>91</v>
      </c>
      <c r="L14" s="32">
        <v>42088.567361111112</v>
      </c>
      <c r="N14" s="5" t="s">
        <v>92</v>
      </c>
      <c r="O14" s="3">
        <v>42080</v>
      </c>
      <c r="P14" s="3">
        <v>42088</v>
      </c>
      <c r="Q14">
        <v>50</v>
      </c>
      <c r="R14" s="5">
        <v>0</v>
      </c>
      <c r="S14">
        <v>0</v>
      </c>
      <c r="T14" s="32">
        <v>42088.567361111112</v>
      </c>
      <c r="X14">
        <v>40</v>
      </c>
      <c r="Y14" s="5" t="b">
        <v>0</v>
      </c>
    </row>
    <row r="25" spans="17:17">
      <c r="Q25" t="s">
        <v>111</v>
      </c>
    </row>
  </sheetData>
  <autoFilter ref="A1:AA13"/>
  <phoneticPr fontId="1"/>
  <pageMargins left="0.19685039370078741" right="0.19685039370078741" top="0.59055118110236227" bottom="0.59055118110236227" header="0.31496062992125984" footer="0.31496062992125984"/>
  <pageSetup paperSize="9" scale="62" fitToHeight="0" orientation="landscape" verticalDpi="0" r:id="rId1"/>
  <headerFooter alignWithMargins="0">
    <oddHeader>&amp;A</oddHeader>
    <oddFooter>&amp;P / &amp;N ページ</oddFooter>
  </headerFooter>
  <legacyDrawing r:id="rId2"/>
  <controls>
    <control shapeId="1059" r:id="rId3" name="btnWebLoad"/>
    <control shapeId="1058" r:id="rId4" name="btnWebSave"/>
    <control shapeId="1049" r:id="rId5" name="btnCalcDate"/>
    <control shapeId="1041" r:id="rId6" name="btnMakeCsv"/>
  </controls>
</worksheet>
</file>

<file path=xl/worksheets/sheet2.xml><?xml version="1.0" encoding="utf-8"?>
<worksheet xmlns="http://schemas.openxmlformats.org/spreadsheetml/2006/main" xmlns:r="http://schemas.openxmlformats.org/officeDocument/2006/relationships">
  <sheetPr codeName="Sheet3"/>
  <dimension ref="A1:G17"/>
  <sheetViews>
    <sheetView zoomScale="70" workbookViewId="0">
      <pane xSplit="3" ySplit="5" topLeftCell="D6" activePane="bottomRight" state="frozen"/>
      <selection pane="topRight" activeCell="D1" sqref="D1"/>
      <selection pane="bottomLeft" activeCell="A4" sqref="A4"/>
      <selection pane="bottomRight" activeCell="G1" sqref="G1"/>
    </sheetView>
  </sheetViews>
  <sheetFormatPr defaultRowHeight="13.5"/>
  <cols>
    <col min="1" max="1" width="5.875" style="16" bestFit="1" customWidth="1"/>
    <col min="2" max="2" width="30.625" style="5" customWidth="1"/>
    <col min="3" max="3" width="9.375" style="5" bestFit="1" customWidth="1"/>
    <col min="4" max="7" width="13.875" bestFit="1" customWidth="1"/>
  </cols>
  <sheetData>
    <row r="1" spans="1:7" ht="27" customHeight="1">
      <c r="A1" s="15" t="s">
        <v>15</v>
      </c>
      <c r="B1" s="4" t="s">
        <v>0</v>
      </c>
      <c r="C1" s="4" t="s">
        <v>2</v>
      </c>
      <c r="D1" s="23">
        <v>42065</v>
      </c>
      <c r="E1" s="23">
        <v>42069</v>
      </c>
      <c r="F1" s="23">
        <v>42076</v>
      </c>
      <c r="G1" s="23">
        <v>42081</v>
      </c>
    </row>
    <row r="2" spans="1:7" s="36" customFormat="1" ht="13.5" customHeight="1">
      <c r="A2" s="43" t="s">
        <v>101</v>
      </c>
      <c r="B2" s="43"/>
      <c r="C2" s="43"/>
      <c r="D2" s="35">
        <v>32</v>
      </c>
      <c r="E2" s="35">
        <v>160</v>
      </c>
      <c r="F2" s="35">
        <v>322</v>
      </c>
      <c r="G2" s="35">
        <v>418</v>
      </c>
    </row>
    <row r="3" spans="1:7" s="36" customFormat="1" ht="13.5" customHeight="1">
      <c r="A3" s="42" t="s">
        <v>102</v>
      </c>
      <c r="B3" s="42"/>
      <c r="C3" s="42"/>
      <c r="D3" s="35">
        <v>448</v>
      </c>
      <c r="E3" s="35">
        <v>328</v>
      </c>
      <c r="F3" s="35">
        <v>174</v>
      </c>
      <c r="G3" s="35">
        <v>98</v>
      </c>
    </row>
    <row r="4" spans="1:7" s="36" customFormat="1" ht="13.5" customHeight="1">
      <c r="A4" s="42" t="s">
        <v>100</v>
      </c>
      <c r="B4" s="42"/>
      <c r="C4" s="42"/>
      <c r="D4" s="35">
        <v>480</v>
      </c>
      <c r="E4" s="35">
        <v>488</v>
      </c>
      <c r="F4" s="35">
        <v>496</v>
      </c>
      <c r="G4" s="35">
        <v>516</v>
      </c>
    </row>
    <row r="5" spans="1:7" s="36" customFormat="1" ht="13.5" customHeight="1">
      <c r="A5" s="42" t="s">
        <v>109</v>
      </c>
      <c r="B5" s="42"/>
      <c r="C5" s="42"/>
      <c r="D5" s="35">
        <f>IF(バッファ工数=0,0,ROUND((D4-$D$4)/バッファ工数*100,0))</f>
        <v>0</v>
      </c>
      <c r="E5" s="35">
        <f>IF(バッファ工数=0,0,ROUND((E4-$D$4)/バッファ工数*100,0))</f>
        <v>17</v>
      </c>
      <c r="F5" s="35">
        <f>IF(バッファ工数=0,0,ROUND((F4-$D$4)/バッファ工数*100,0))</f>
        <v>33</v>
      </c>
      <c r="G5" s="35">
        <f>IF(バッファ工数=0,0,ROUND((G4-$D$4)/バッファ工数*100,0))</f>
        <v>75</v>
      </c>
    </row>
    <row r="6" spans="1:7">
      <c r="A6" s="16">
        <v>1</v>
      </c>
      <c r="B6" s="5" t="s">
        <v>82</v>
      </c>
      <c r="C6" s="5" t="s">
        <v>84</v>
      </c>
      <c r="D6">
        <v>40</v>
      </c>
      <c r="E6">
        <v>48</v>
      </c>
      <c r="F6">
        <v>48</v>
      </c>
      <c r="G6">
        <v>48</v>
      </c>
    </row>
    <row r="7" spans="1:7">
      <c r="A7" s="16">
        <v>2</v>
      </c>
      <c r="B7" s="5" t="s">
        <v>86</v>
      </c>
      <c r="C7" s="5" t="s">
        <v>84</v>
      </c>
      <c r="D7">
        <v>40</v>
      </c>
      <c r="E7">
        <v>40</v>
      </c>
      <c r="F7">
        <v>48</v>
      </c>
      <c r="G7">
        <v>48</v>
      </c>
    </row>
    <row r="8" spans="1:7">
      <c r="A8" s="16">
        <v>3</v>
      </c>
      <c r="B8" s="5" t="s">
        <v>87</v>
      </c>
      <c r="C8" s="5" t="s">
        <v>84</v>
      </c>
      <c r="D8">
        <v>40</v>
      </c>
      <c r="E8">
        <v>40</v>
      </c>
      <c r="F8">
        <v>40</v>
      </c>
      <c r="G8">
        <v>40</v>
      </c>
    </row>
    <row r="9" spans="1:7">
      <c r="A9" s="16">
        <v>4</v>
      </c>
      <c r="B9" s="5" t="s">
        <v>45</v>
      </c>
      <c r="C9" s="5" t="s">
        <v>88</v>
      </c>
      <c r="D9">
        <v>40</v>
      </c>
      <c r="E9">
        <v>40</v>
      </c>
      <c r="F9">
        <v>40</v>
      </c>
      <c r="G9">
        <v>40</v>
      </c>
    </row>
    <row r="10" spans="1:7">
      <c r="A10" s="16">
        <v>5</v>
      </c>
      <c r="B10" s="5" t="s">
        <v>46</v>
      </c>
      <c r="C10" s="5" t="s">
        <v>88</v>
      </c>
      <c r="D10">
        <v>40</v>
      </c>
      <c r="E10">
        <v>40</v>
      </c>
      <c r="F10">
        <v>40</v>
      </c>
      <c r="G10">
        <v>40</v>
      </c>
    </row>
    <row r="11" spans="1:7">
      <c r="A11" s="16">
        <v>6</v>
      </c>
      <c r="B11" s="5" t="s">
        <v>47</v>
      </c>
      <c r="C11" s="5" t="s">
        <v>88</v>
      </c>
      <c r="D11">
        <v>40</v>
      </c>
      <c r="E11">
        <v>40</v>
      </c>
      <c r="F11">
        <v>40</v>
      </c>
      <c r="G11">
        <v>40</v>
      </c>
    </row>
    <row r="12" spans="1:7">
      <c r="A12" s="16">
        <v>7</v>
      </c>
      <c r="B12" s="5" t="s">
        <v>48</v>
      </c>
      <c r="C12" s="5" t="s">
        <v>89</v>
      </c>
      <c r="D12">
        <v>40</v>
      </c>
      <c r="E12">
        <v>40</v>
      </c>
      <c r="F12">
        <v>40</v>
      </c>
      <c r="G12">
        <v>40</v>
      </c>
    </row>
    <row r="13" spans="1:7">
      <c r="A13" s="16">
        <v>8</v>
      </c>
      <c r="B13" s="5" t="s">
        <v>49</v>
      </c>
      <c r="C13" s="5" t="s">
        <v>89</v>
      </c>
      <c r="D13">
        <v>40</v>
      </c>
      <c r="E13">
        <v>40</v>
      </c>
      <c r="F13">
        <v>40</v>
      </c>
      <c r="G13">
        <v>40</v>
      </c>
    </row>
    <row r="14" spans="1:7">
      <c r="A14" s="16">
        <v>9</v>
      </c>
      <c r="B14" s="5" t="s">
        <v>50</v>
      </c>
      <c r="C14" s="5" t="s">
        <v>89</v>
      </c>
      <c r="D14">
        <v>40</v>
      </c>
      <c r="E14">
        <v>40</v>
      </c>
      <c r="F14">
        <v>40</v>
      </c>
      <c r="G14">
        <v>40</v>
      </c>
    </row>
    <row r="15" spans="1:7">
      <c r="A15" s="16">
        <v>10</v>
      </c>
      <c r="B15" s="5" t="s">
        <v>90</v>
      </c>
      <c r="C15" s="5" t="s">
        <v>91</v>
      </c>
      <c r="D15">
        <v>40</v>
      </c>
      <c r="E15">
        <v>40</v>
      </c>
      <c r="F15">
        <v>40</v>
      </c>
      <c r="G15">
        <v>50</v>
      </c>
    </row>
    <row r="16" spans="1:7">
      <c r="A16" s="16">
        <v>11</v>
      </c>
      <c r="B16" s="5" t="s">
        <v>51</v>
      </c>
      <c r="C16" s="5" t="s">
        <v>91</v>
      </c>
      <c r="D16">
        <v>40</v>
      </c>
      <c r="E16">
        <v>40</v>
      </c>
      <c r="F16">
        <v>40</v>
      </c>
      <c r="G16">
        <v>40</v>
      </c>
    </row>
    <row r="17" spans="1:7">
      <c r="A17" s="16">
        <v>12</v>
      </c>
      <c r="B17" s="5" t="s">
        <v>52</v>
      </c>
      <c r="C17" s="5" t="s">
        <v>91</v>
      </c>
      <c r="D17">
        <v>40</v>
      </c>
      <c r="E17">
        <v>40</v>
      </c>
      <c r="F17">
        <v>40</v>
      </c>
      <c r="G17">
        <v>50</v>
      </c>
    </row>
  </sheetData>
  <autoFilter ref="A1:G17"/>
  <mergeCells count="4">
    <mergeCell ref="A3:C3"/>
    <mergeCell ref="A5:C5"/>
    <mergeCell ref="A2:C2"/>
    <mergeCell ref="A4:C4"/>
  </mergeCells>
  <phoneticPr fontId="1"/>
  <pageMargins left="0.19685039370078741" right="0.19685039370078741" top="0.59055118110236227" bottom="0.59055118110236227" header="0.31496062992125984" footer="0.31496062992125984"/>
  <pageSetup paperSize="9" orientation="portrait" verticalDpi="0" r:id="rId1"/>
  <headerFooter alignWithMargins="0">
    <oddHeader>&amp;A</oddHeader>
    <oddFooter>&amp;P / &amp;N ページ</oddFooter>
  </headerFooter>
</worksheet>
</file>

<file path=xl/worksheets/sheet3.xml><?xml version="1.0" encoding="utf-8"?>
<worksheet xmlns="http://schemas.openxmlformats.org/spreadsheetml/2006/main" xmlns:r="http://schemas.openxmlformats.org/officeDocument/2006/relationships">
  <sheetPr codeName="Sheet2"/>
  <dimension ref="B1:S58"/>
  <sheetViews>
    <sheetView zoomScale="85" workbookViewId="0"/>
  </sheetViews>
  <sheetFormatPr defaultRowHeight="13.5"/>
  <cols>
    <col min="1" max="1" width="2.625" customWidth="1"/>
    <col min="2" max="2" width="9.5" style="10" customWidth="1"/>
    <col min="3" max="3" width="9.5" style="9" customWidth="1"/>
    <col min="4" max="4" width="2.625" customWidth="1"/>
    <col min="5" max="5" width="11.625" style="9" bestFit="1" customWidth="1"/>
    <col min="6" max="6" width="13" bestFit="1" customWidth="1"/>
    <col min="7" max="7" width="2.625" customWidth="1"/>
    <col min="8" max="9" width="15.625" hidden="1" customWidth="1"/>
    <col min="10" max="10" width="2.625" hidden="1" customWidth="1"/>
    <col min="11" max="11" width="11.625" customWidth="1"/>
    <col min="12" max="12" width="11.625" style="3" bestFit="1" customWidth="1"/>
    <col min="17" max="19" width="9" style="19"/>
    <col min="20" max="20" width="2.625" customWidth="1"/>
  </cols>
  <sheetData>
    <row r="1" spans="2:19">
      <c r="B1" s="14" t="s">
        <v>119</v>
      </c>
      <c r="E1" t="s">
        <v>36</v>
      </c>
    </row>
    <row r="2" spans="2:19">
      <c r="E2" s="8" t="s">
        <v>35</v>
      </c>
      <c r="H2" s="34" t="s">
        <v>76</v>
      </c>
      <c r="I2" s="25">
        <v>42013</v>
      </c>
      <c r="K2" t="s">
        <v>76</v>
      </c>
      <c r="L2" s="25">
        <v>42081</v>
      </c>
    </row>
    <row r="3" spans="2:19">
      <c r="B3" s="48" t="s">
        <v>60</v>
      </c>
      <c r="C3" s="49"/>
      <c r="E3" s="48" t="s">
        <v>58</v>
      </c>
      <c r="F3" s="49"/>
      <c r="H3" s="53" t="s">
        <v>99</v>
      </c>
      <c r="I3" s="53"/>
      <c r="K3" s="17" t="s">
        <v>2</v>
      </c>
      <c r="L3" s="24" t="s">
        <v>66</v>
      </c>
      <c r="M3" s="18" t="s">
        <v>67</v>
      </c>
      <c r="N3" s="18" t="s">
        <v>104</v>
      </c>
      <c r="O3" s="18" t="s">
        <v>105</v>
      </c>
      <c r="P3" s="18" t="s">
        <v>68</v>
      </c>
      <c r="Q3" s="20" t="s">
        <v>69</v>
      </c>
      <c r="R3" s="20" t="s">
        <v>70</v>
      </c>
      <c r="S3" s="20" t="s">
        <v>71</v>
      </c>
    </row>
    <row r="4" spans="2:19">
      <c r="B4" s="50">
        <v>8</v>
      </c>
      <c r="C4" s="49"/>
      <c r="E4" s="13">
        <v>42005</v>
      </c>
      <c r="F4" s="12" t="s">
        <v>19</v>
      </c>
      <c r="H4" s="12" t="s">
        <v>93</v>
      </c>
      <c r="I4" s="12">
        <f>SUM(予定工数)</f>
        <v>566</v>
      </c>
      <c r="K4" s="12" t="s">
        <v>112</v>
      </c>
      <c r="L4" s="13">
        <v>42087</v>
      </c>
      <c r="M4" s="12">
        <v>120</v>
      </c>
      <c r="N4" s="12">
        <v>136</v>
      </c>
      <c r="O4" s="12">
        <v>0</v>
      </c>
      <c r="P4" s="12">
        <v>136</v>
      </c>
      <c r="Q4" s="21">
        <f>P4/工数１日</f>
        <v>17</v>
      </c>
      <c r="R4" s="21">
        <f>Q4/20</f>
        <v>0.85</v>
      </c>
      <c r="S4" s="21">
        <f>(P4/M4-1)*100</f>
        <v>13.33333333333333</v>
      </c>
    </row>
    <row r="5" spans="2:19">
      <c r="E5" s="13">
        <v>42016</v>
      </c>
      <c r="F5" s="12" t="s">
        <v>20</v>
      </c>
      <c r="H5" s="12" t="s">
        <v>94</v>
      </c>
      <c r="I5" s="12" t="e">
        <f>SUMPRODUCT(予定工数*(期日&lt;=進捗報告日))</f>
        <v>#VALUE!</v>
      </c>
      <c r="K5" s="12" t="s">
        <v>110</v>
      </c>
      <c r="L5" s="13">
        <v>42088</v>
      </c>
      <c r="M5" s="12">
        <v>120</v>
      </c>
      <c r="N5" s="12">
        <v>140</v>
      </c>
      <c r="O5" s="12">
        <v>0</v>
      </c>
      <c r="P5" s="12">
        <v>140</v>
      </c>
      <c r="Q5" s="21">
        <f>P5/工数１日</f>
        <v>17.5</v>
      </c>
      <c r="R5" s="21">
        <f>Q5/20</f>
        <v>0.875</v>
      </c>
      <c r="S5" s="21">
        <f>(P5/M5-1)*100</f>
        <v>16.666666666666675</v>
      </c>
    </row>
    <row r="6" spans="2:19">
      <c r="B6" s="48" t="s">
        <v>55</v>
      </c>
      <c r="C6" s="49"/>
      <c r="E6" s="13">
        <v>42046</v>
      </c>
      <c r="F6" s="12" t="s">
        <v>21</v>
      </c>
      <c r="H6" s="12" t="s">
        <v>95</v>
      </c>
      <c r="I6" s="12" t="e">
        <f>SUMPRODUCT(予定工数*(進捗率/100))</f>
        <v>#VALUE!</v>
      </c>
      <c r="K6" s="12" t="s">
        <v>113</v>
      </c>
      <c r="L6" s="13">
        <v>42083</v>
      </c>
      <c r="M6" s="12">
        <v>120</v>
      </c>
      <c r="N6" s="12">
        <v>120</v>
      </c>
      <c r="O6" s="12">
        <v>0</v>
      </c>
      <c r="P6" s="12">
        <v>120</v>
      </c>
      <c r="Q6" s="21">
        <f>P6/工数１日</f>
        <v>15</v>
      </c>
      <c r="R6" s="21">
        <f>Q6/20</f>
        <v>0.75</v>
      </c>
      <c r="S6" s="21">
        <f>(P6/M6-1)*100</f>
        <v>0</v>
      </c>
    </row>
    <row r="7" spans="2:19" ht="14.25" thickBot="1">
      <c r="B7" s="50">
        <v>2</v>
      </c>
      <c r="C7" s="49"/>
      <c r="E7" s="13">
        <v>42084</v>
      </c>
      <c r="F7" s="12" t="s">
        <v>22</v>
      </c>
      <c r="H7" s="12" t="s">
        <v>96</v>
      </c>
      <c r="I7" s="33" t="e">
        <f>I5/I4</f>
        <v>#VALUE!</v>
      </c>
      <c r="K7" s="26" t="s">
        <v>114</v>
      </c>
      <c r="L7" s="27">
        <v>42083</v>
      </c>
      <c r="M7" s="26">
        <v>120</v>
      </c>
      <c r="N7" s="26">
        <v>120</v>
      </c>
      <c r="O7" s="26">
        <v>0</v>
      </c>
      <c r="P7" s="26">
        <v>120</v>
      </c>
      <c r="Q7" s="28">
        <f>P7/工数１日</f>
        <v>15</v>
      </c>
      <c r="R7" s="28">
        <f>Q7/20</f>
        <v>0.75</v>
      </c>
      <c r="S7" s="28">
        <f>(P7/M7-1)*100</f>
        <v>0</v>
      </c>
    </row>
    <row r="8" spans="2:19" ht="14.25" thickTop="1">
      <c r="E8" s="13">
        <v>42123</v>
      </c>
      <c r="F8" s="12" t="s">
        <v>23</v>
      </c>
      <c r="H8" s="12" t="s">
        <v>97</v>
      </c>
      <c r="I8" s="33" t="e">
        <f>I6/I4</f>
        <v>#VALUE!</v>
      </c>
      <c r="K8" s="29"/>
      <c r="L8" s="30">
        <v>42088</v>
      </c>
      <c r="M8" s="29">
        <f>SUM(M4:M7)</f>
        <v>480</v>
      </c>
      <c r="N8" s="29">
        <f>SUM(N4:N7)</f>
        <v>516</v>
      </c>
      <c r="O8" s="29">
        <f>SUM(O4:O7)</f>
        <v>0</v>
      </c>
      <c r="P8" s="29">
        <f>SUM(P4:P7)</f>
        <v>516</v>
      </c>
      <c r="Q8" s="22">
        <f>P8/工数１日</f>
        <v>64.5</v>
      </c>
      <c r="R8" s="22">
        <f>Q8/20</f>
        <v>3.2250000000000001</v>
      </c>
      <c r="S8" s="22">
        <f>(P8/M8-1)*100</f>
        <v>7.4999999999999956</v>
      </c>
    </row>
    <row r="9" spans="2:19">
      <c r="B9" s="48" t="s">
        <v>57</v>
      </c>
      <c r="C9" s="49"/>
      <c r="E9" s="13">
        <v>42127</v>
      </c>
      <c r="F9" s="12" t="s">
        <v>24</v>
      </c>
      <c r="H9" s="12" t="s">
        <v>98</v>
      </c>
      <c r="I9" s="33" t="e">
        <f>I8-I7</f>
        <v>#VALUE!</v>
      </c>
      <c r="L9"/>
      <c r="Q9"/>
      <c r="R9"/>
      <c r="S9"/>
    </row>
    <row r="10" spans="2:19">
      <c r="B10" s="46"/>
      <c r="C10" s="46"/>
      <c r="E10" s="13">
        <v>42128</v>
      </c>
      <c r="F10" s="12" t="s">
        <v>25</v>
      </c>
      <c r="L10"/>
      <c r="Q10"/>
      <c r="R10"/>
      <c r="S10"/>
    </row>
    <row r="11" spans="2:19">
      <c r="E11" s="13">
        <v>42129</v>
      </c>
      <c r="F11" s="12" t="s">
        <v>26</v>
      </c>
      <c r="L11"/>
      <c r="Q11"/>
      <c r="R11"/>
      <c r="S11"/>
    </row>
    <row r="12" spans="2:19">
      <c r="B12" s="56" t="s">
        <v>61</v>
      </c>
      <c r="C12" s="56"/>
      <c r="E12" s="13">
        <v>42130</v>
      </c>
      <c r="F12" s="12" t="s">
        <v>34</v>
      </c>
      <c r="L12"/>
      <c r="Q12"/>
      <c r="R12"/>
      <c r="S12"/>
    </row>
    <row r="13" spans="2:19">
      <c r="B13" s="11" t="s">
        <v>39</v>
      </c>
      <c r="C13" s="11"/>
      <c r="E13" s="13">
        <v>42205</v>
      </c>
      <c r="F13" s="12" t="s">
        <v>27</v>
      </c>
      <c r="L13"/>
      <c r="Q13"/>
      <c r="R13"/>
      <c r="S13"/>
    </row>
    <row r="14" spans="2:19">
      <c r="B14" s="11" t="s">
        <v>40</v>
      </c>
      <c r="C14" s="11"/>
      <c r="E14" s="13">
        <v>42268</v>
      </c>
      <c r="F14" s="12" t="s">
        <v>28</v>
      </c>
      <c r="L14"/>
      <c r="Q14"/>
      <c r="R14"/>
      <c r="S14"/>
    </row>
    <row r="15" spans="2:19">
      <c r="B15" s="11" t="s">
        <v>41</v>
      </c>
      <c r="C15" s="11"/>
      <c r="E15" s="13">
        <v>42269</v>
      </c>
      <c r="F15" s="12" t="s">
        <v>72</v>
      </c>
      <c r="L15"/>
      <c r="Q15"/>
      <c r="R15"/>
      <c r="S15"/>
    </row>
    <row r="16" spans="2:19">
      <c r="B16" s="11" t="s">
        <v>42</v>
      </c>
      <c r="C16" s="11"/>
      <c r="E16" s="13">
        <v>42270</v>
      </c>
      <c r="F16" s="12" t="s">
        <v>29</v>
      </c>
      <c r="L16"/>
      <c r="Q16"/>
      <c r="R16"/>
      <c r="S16"/>
    </row>
    <row r="17" spans="2:19">
      <c r="B17" s="11" t="s">
        <v>43</v>
      </c>
      <c r="C17" s="11"/>
      <c r="E17" s="13">
        <v>42289</v>
      </c>
      <c r="F17" s="12" t="s">
        <v>30</v>
      </c>
      <c r="L17"/>
      <c r="Q17"/>
      <c r="R17"/>
      <c r="S17"/>
    </row>
    <row r="18" spans="2:19">
      <c r="B18" s="11" t="s">
        <v>38</v>
      </c>
      <c r="C18" s="11" t="s">
        <v>56</v>
      </c>
      <c r="E18" s="13">
        <v>42311</v>
      </c>
      <c r="F18" s="12" t="s">
        <v>31</v>
      </c>
      <c r="L18"/>
      <c r="Q18"/>
      <c r="R18"/>
      <c r="S18"/>
    </row>
    <row r="19" spans="2:19">
      <c r="B19" s="11" t="s">
        <v>37</v>
      </c>
      <c r="C19" s="11" t="s">
        <v>44</v>
      </c>
      <c r="E19" s="13">
        <v>42331</v>
      </c>
      <c r="F19" s="12" t="s">
        <v>32</v>
      </c>
      <c r="L19"/>
      <c r="Q19"/>
      <c r="R19"/>
      <c r="S19"/>
    </row>
    <row r="20" spans="2:19">
      <c r="E20" s="13">
        <v>42361</v>
      </c>
      <c r="F20" s="12" t="s">
        <v>33</v>
      </c>
      <c r="L20"/>
      <c r="Q20"/>
      <c r="R20"/>
      <c r="S20"/>
    </row>
    <row r="21" spans="2:19">
      <c r="B21" s="48" t="s">
        <v>62</v>
      </c>
      <c r="C21" s="49"/>
      <c r="E21" s="13">
        <v>42370</v>
      </c>
      <c r="F21" s="12" t="s">
        <v>19</v>
      </c>
      <c r="L21"/>
      <c r="Q21"/>
      <c r="R21"/>
      <c r="S21"/>
    </row>
    <row r="22" spans="2:19">
      <c r="B22" s="51"/>
      <c r="C22" s="52"/>
      <c r="E22" s="13">
        <v>42380</v>
      </c>
      <c r="F22" s="12" t="s">
        <v>20</v>
      </c>
      <c r="L22"/>
      <c r="Q22"/>
      <c r="R22"/>
      <c r="S22"/>
    </row>
    <row r="23" spans="2:19">
      <c r="B23" s="51"/>
      <c r="C23" s="52"/>
      <c r="E23" s="13">
        <v>42411</v>
      </c>
      <c r="F23" s="12" t="s">
        <v>21</v>
      </c>
      <c r="L23"/>
      <c r="Q23"/>
      <c r="R23"/>
      <c r="S23"/>
    </row>
    <row r="24" spans="2:19">
      <c r="B24" s="51"/>
      <c r="C24" s="52"/>
      <c r="E24" s="13">
        <v>42449</v>
      </c>
      <c r="F24" s="12" t="s">
        <v>22</v>
      </c>
      <c r="L24"/>
      <c r="Q24"/>
      <c r="R24"/>
      <c r="S24"/>
    </row>
    <row r="25" spans="2:19">
      <c r="B25" s="51"/>
      <c r="C25" s="52"/>
      <c r="E25" s="13">
        <v>42450</v>
      </c>
      <c r="F25" s="12" t="s">
        <v>34</v>
      </c>
      <c r="L25"/>
      <c r="Q25"/>
      <c r="R25"/>
      <c r="S25"/>
    </row>
    <row r="26" spans="2:19">
      <c r="B26" s="51"/>
      <c r="C26" s="52"/>
      <c r="E26" s="13">
        <v>42489</v>
      </c>
      <c r="F26" s="12" t="s">
        <v>23</v>
      </c>
      <c r="L26"/>
      <c r="Q26"/>
      <c r="R26"/>
      <c r="S26"/>
    </row>
    <row r="27" spans="2:19">
      <c r="B27" s="51"/>
      <c r="C27" s="52"/>
      <c r="E27" s="13">
        <v>42493</v>
      </c>
      <c r="F27" s="12" t="s">
        <v>24</v>
      </c>
      <c r="L27"/>
      <c r="Q27"/>
      <c r="R27"/>
      <c r="S27"/>
    </row>
    <row r="28" spans="2:19">
      <c r="B28" s="51"/>
      <c r="C28" s="52"/>
      <c r="E28" s="13">
        <v>42494</v>
      </c>
      <c r="F28" s="12" t="s">
        <v>25</v>
      </c>
      <c r="L28"/>
      <c r="Q28"/>
      <c r="R28"/>
      <c r="S28"/>
    </row>
    <row r="29" spans="2:19">
      <c r="B29" s="51"/>
      <c r="C29" s="52"/>
      <c r="E29" s="13">
        <v>42495</v>
      </c>
      <c r="F29" s="12" t="s">
        <v>26</v>
      </c>
      <c r="L29"/>
      <c r="Q29"/>
      <c r="R29"/>
      <c r="S29"/>
    </row>
    <row r="30" spans="2:19">
      <c r="B30" s="54"/>
      <c r="C30" s="55"/>
      <c r="E30" s="13">
        <v>42569</v>
      </c>
      <c r="F30" s="12" t="s">
        <v>27</v>
      </c>
      <c r="L30"/>
      <c r="Q30"/>
      <c r="R30"/>
      <c r="S30"/>
    </row>
    <row r="31" spans="2:19">
      <c r="B31" s="48" t="s">
        <v>59</v>
      </c>
      <c r="C31" s="49"/>
      <c r="E31" s="13">
        <v>42593</v>
      </c>
      <c r="F31" s="12" t="s">
        <v>115</v>
      </c>
      <c r="L31"/>
      <c r="Q31"/>
      <c r="R31"/>
      <c r="S31"/>
    </row>
    <row r="32" spans="2:19">
      <c r="B32" s="46"/>
      <c r="C32" s="46"/>
      <c r="E32" s="13">
        <v>42632</v>
      </c>
      <c r="F32" s="12" t="s">
        <v>28</v>
      </c>
      <c r="L32"/>
      <c r="Q32"/>
      <c r="R32"/>
      <c r="S32"/>
    </row>
    <row r="33" spans="2:19">
      <c r="B33" s="46"/>
      <c r="C33" s="46"/>
      <c r="E33" s="13">
        <v>42635</v>
      </c>
      <c r="F33" s="12" t="s">
        <v>29</v>
      </c>
      <c r="L33"/>
      <c r="Q33"/>
      <c r="R33"/>
      <c r="S33"/>
    </row>
    <row r="34" spans="2:19">
      <c r="B34" s="46"/>
      <c r="C34" s="46"/>
      <c r="E34" s="13">
        <v>42653</v>
      </c>
      <c r="F34" s="12" t="s">
        <v>30</v>
      </c>
      <c r="L34"/>
      <c r="Q34"/>
      <c r="R34"/>
      <c r="S34"/>
    </row>
    <row r="35" spans="2:19">
      <c r="B35" s="46"/>
      <c r="C35" s="46"/>
      <c r="E35" s="13">
        <v>42677</v>
      </c>
      <c r="F35" s="12" t="s">
        <v>31</v>
      </c>
      <c r="L35"/>
      <c r="Q35"/>
      <c r="R35"/>
      <c r="S35"/>
    </row>
    <row r="36" spans="2:19">
      <c r="B36" s="46"/>
      <c r="C36" s="46"/>
      <c r="E36" s="13">
        <v>42697</v>
      </c>
      <c r="F36" s="12" t="s">
        <v>32</v>
      </c>
      <c r="L36"/>
      <c r="Q36"/>
      <c r="R36"/>
      <c r="S36"/>
    </row>
    <row r="37" spans="2:19">
      <c r="B37" s="46"/>
      <c r="C37" s="46"/>
      <c r="E37" s="13">
        <v>42727</v>
      </c>
      <c r="F37" s="12" t="s">
        <v>33</v>
      </c>
      <c r="L37"/>
      <c r="Q37"/>
      <c r="R37"/>
      <c r="S37"/>
    </row>
    <row r="38" spans="2:19">
      <c r="B38" s="46"/>
      <c r="C38" s="46"/>
      <c r="E38" s="13"/>
      <c r="F38" s="12"/>
      <c r="L38"/>
      <c r="Q38"/>
      <c r="R38"/>
      <c r="S38"/>
    </row>
    <row r="39" spans="2:19">
      <c r="B39" s="46"/>
      <c r="C39" s="46"/>
      <c r="E39" s="13"/>
      <c r="F39" s="12"/>
      <c r="L39"/>
      <c r="Q39"/>
      <c r="R39"/>
      <c r="S39"/>
    </row>
    <row r="40" spans="2:19">
      <c r="B40" s="46"/>
      <c r="C40" s="46"/>
      <c r="E40" s="13"/>
      <c r="F40" s="12"/>
      <c r="L40"/>
      <c r="Q40"/>
      <c r="R40"/>
      <c r="S40"/>
    </row>
    <row r="41" spans="2:19">
      <c r="L41"/>
      <c r="Q41"/>
      <c r="R41"/>
      <c r="S41"/>
    </row>
    <row r="42" spans="2:19">
      <c r="B42" s="48" t="s">
        <v>77</v>
      </c>
      <c r="C42" s="49"/>
      <c r="E42" s="48" t="s">
        <v>117</v>
      </c>
      <c r="F42" s="49"/>
      <c r="L42"/>
      <c r="Q42"/>
      <c r="R42"/>
      <c r="S42"/>
    </row>
    <row r="43" spans="2:19">
      <c r="B43" s="50" t="s">
        <v>116</v>
      </c>
      <c r="C43" s="49"/>
      <c r="E43" s="50" t="s">
        <v>118</v>
      </c>
      <c r="F43" s="49"/>
      <c r="L43"/>
      <c r="Q43"/>
      <c r="R43"/>
      <c r="S43"/>
    </row>
    <row r="44" spans="2:19">
      <c r="L44"/>
      <c r="Q44"/>
      <c r="R44"/>
      <c r="S44"/>
    </row>
    <row r="45" spans="2:19">
      <c r="B45" s="48" t="s">
        <v>106</v>
      </c>
      <c r="C45" s="49"/>
      <c r="L45"/>
      <c r="Q45"/>
      <c r="R45"/>
      <c r="S45"/>
    </row>
    <row r="46" spans="2:19">
      <c r="B46" s="50">
        <v>48</v>
      </c>
      <c r="C46" s="49"/>
      <c r="L46"/>
      <c r="Q46"/>
      <c r="R46"/>
      <c r="S46"/>
    </row>
    <row r="47" spans="2:19">
      <c r="B47" s="48" t="s">
        <v>107</v>
      </c>
      <c r="C47" s="49"/>
      <c r="L47"/>
      <c r="Q47"/>
      <c r="R47"/>
      <c r="S47"/>
    </row>
    <row r="48" spans="2:19">
      <c r="B48" s="40">
        <v>15</v>
      </c>
      <c r="C48" s="40">
        <v>75</v>
      </c>
      <c r="L48"/>
      <c r="Q48"/>
      <c r="R48"/>
      <c r="S48"/>
    </row>
    <row r="49" spans="2:19">
      <c r="B49" s="48" t="s">
        <v>108</v>
      </c>
      <c r="C49" s="49"/>
      <c r="L49"/>
      <c r="Q49"/>
      <c r="R49"/>
      <c r="S49"/>
    </row>
    <row r="50" spans="2:19">
      <c r="B50" s="40">
        <v>30</v>
      </c>
      <c r="C50" s="40">
        <v>90</v>
      </c>
      <c r="L50"/>
      <c r="Q50"/>
      <c r="R50"/>
      <c r="S50"/>
    </row>
    <row r="51" spans="2:19">
      <c r="L51"/>
      <c r="Q51"/>
      <c r="R51"/>
      <c r="S51"/>
    </row>
    <row r="52" spans="2:19">
      <c r="B52" s="41" t="s">
        <v>120</v>
      </c>
      <c r="L52"/>
      <c r="Q52"/>
      <c r="R52"/>
      <c r="S52"/>
    </row>
    <row r="53" spans="2:19">
      <c r="B53" s="47" t="s">
        <v>121</v>
      </c>
      <c r="C53" s="45"/>
      <c r="D53" s="45"/>
      <c r="E53" s="45"/>
      <c r="F53" s="45"/>
      <c r="L53"/>
      <c r="Q53"/>
      <c r="R53"/>
      <c r="S53"/>
    </row>
    <row r="54" spans="2:19">
      <c r="B54" s="44" t="s">
        <v>127</v>
      </c>
      <c r="C54" s="44"/>
      <c r="D54" s="45"/>
      <c r="E54" s="45"/>
      <c r="F54" s="45"/>
      <c r="L54"/>
      <c r="Q54"/>
      <c r="R54"/>
      <c r="S54"/>
    </row>
    <row r="55" spans="2:19">
      <c r="B55" s="47" t="s">
        <v>122</v>
      </c>
      <c r="C55" s="45"/>
      <c r="D55" s="45"/>
      <c r="E55" s="45"/>
      <c r="F55" s="45"/>
    </row>
    <row r="56" spans="2:19">
      <c r="B56" s="44" t="s">
        <v>128</v>
      </c>
      <c r="C56" s="44"/>
      <c r="D56" s="45"/>
      <c r="E56" s="45"/>
      <c r="F56" s="45"/>
    </row>
    <row r="57" spans="2:19">
      <c r="B57" s="47" t="s">
        <v>123</v>
      </c>
      <c r="C57" s="45"/>
      <c r="D57" s="45"/>
      <c r="E57" s="45"/>
      <c r="F57" s="45"/>
    </row>
    <row r="58" spans="2:19">
      <c r="B58" s="44" t="s">
        <v>129</v>
      </c>
      <c r="C58" s="44"/>
      <c r="D58" s="45"/>
      <c r="E58" s="45"/>
      <c r="F58" s="45"/>
    </row>
  </sheetData>
  <mergeCells count="43">
    <mergeCell ref="E43:F43"/>
    <mergeCell ref="B38:C38"/>
    <mergeCell ref="B33:C33"/>
    <mergeCell ref="B42:C42"/>
    <mergeCell ref="B43:C43"/>
    <mergeCell ref="B36:C36"/>
    <mergeCell ref="B34:C34"/>
    <mergeCell ref="B35:C35"/>
    <mergeCell ref="B27:C27"/>
    <mergeCell ref="B28:C28"/>
    <mergeCell ref="B25:C25"/>
    <mergeCell ref="B26:C26"/>
    <mergeCell ref="E3:F3"/>
    <mergeCell ref="B3:C3"/>
    <mergeCell ref="B4:C4"/>
    <mergeCell ref="B6:C6"/>
    <mergeCell ref="B7:C7"/>
    <mergeCell ref="B21:C21"/>
    <mergeCell ref="B23:C23"/>
    <mergeCell ref="B22:C22"/>
    <mergeCell ref="B10:C10"/>
    <mergeCell ref="B12:C12"/>
    <mergeCell ref="B9:C9"/>
    <mergeCell ref="B24:C24"/>
    <mergeCell ref="B53:F53"/>
    <mergeCell ref="B54:F54"/>
    <mergeCell ref="H3:I3"/>
    <mergeCell ref="B39:C39"/>
    <mergeCell ref="B40:C40"/>
    <mergeCell ref="B37:C37"/>
    <mergeCell ref="B29:C29"/>
    <mergeCell ref="B30:C30"/>
    <mergeCell ref="B31:C31"/>
    <mergeCell ref="B58:F58"/>
    <mergeCell ref="B32:C32"/>
    <mergeCell ref="B55:F55"/>
    <mergeCell ref="B56:F56"/>
    <mergeCell ref="B57:F57"/>
    <mergeCell ref="B45:C45"/>
    <mergeCell ref="B46:C46"/>
    <mergeCell ref="B47:C47"/>
    <mergeCell ref="B49:C49"/>
    <mergeCell ref="E42:F42"/>
  </mergeCells>
  <phoneticPr fontId="1"/>
  <dataValidations count="2">
    <dataValidation type="list" allowBlank="1" showInputMessage="1" showErrorMessage="1" sqref="B43:C43">
      <formula1>"作成する,作成しない"</formula1>
    </dataValidation>
    <dataValidation type="list" allowBlank="1" showInputMessage="1" showErrorMessage="1" sqref="E43:F43">
      <formula1>"確認する,確認しない"</formula1>
    </dataValidation>
  </dataValidations>
  <hyperlinks>
    <hyperlink ref="E2" r:id="rId1"/>
  </hyperlinks>
  <pageMargins left="0.39370078740157483" right="0.39370078740157483" top="0.19685039370078741" bottom="0.19685039370078741" header="0.11811023622047245" footer="0.11811023622047245"/>
  <pageSetup paperSize="9" orientation="landscape" verticalDpi="1200" r:id="rId2"/>
  <headerFooter alignWithMargins="0"/>
  <drawing r:id="rId3"/>
  <legacy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52</vt:i4>
      </vt:variant>
    </vt:vector>
  </HeadingPairs>
  <TitlesOfParts>
    <vt:vector size="55" baseType="lpstr">
      <vt:lpstr>_チケット一括作成</vt:lpstr>
      <vt:lpstr>予定工数履歴</vt:lpstr>
      <vt:lpstr>設定</vt:lpstr>
      <vt:lpstr>APIキー</vt:lpstr>
      <vt:lpstr>Id</vt:lpstr>
      <vt:lpstr>予定工数履歴!No</vt:lpstr>
      <vt:lpstr>No</vt:lpstr>
      <vt:lpstr>_チケット一括作成!Print_Titles</vt:lpstr>
      <vt:lpstr>予定工数履歴!Print_Titles</vt:lpstr>
      <vt:lpstr>カテゴリ</vt:lpstr>
      <vt:lpstr>ステータス</vt:lpstr>
      <vt:lpstr>予定工数履歴!データ</vt:lpstr>
      <vt:lpstr>データ</vt:lpstr>
      <vt:lpstr>トラッカー</vt:lpstr>
      <vt:lpstr>バッファ工数</vt:lpstr>
      <vt:lpstr>プライベート</vt:lpstr>
      <vt:lpstr>プロジェクト</vt:lpstr>
      <vt:lpstr>プロジェクトID</vt:lpstr>
      <vt:lpstr>ベースURL</vt:lpstr>
      <vt:lpstr>回答</vt:lpstr>
      <vt:lpstr>開始日</vt:lpstr>
      <vt:lpstr>危険バッファ消費率開始時</vt:lpstr>
      <vt:lpstr>危険バッファ消費率終了時</vt:lpstr>
      <vt:lpstr>期日</vt:lpstr>
      <vt:lpstr>休日曜日</vt:lpstr>
      <vt:lpstr>工数１日</vt:lpstr>
      <vt:lpstr>工数未入力</vt:lpstr>
      <vt:lpstr>更新日</vt:lpstr>
      <vt:lpstr>再計算開始日付</vt:lpstr>
      <vt:lpstr>作業時間</vt:lpstr>
      <vt:lpstr>作成者</vt:lpstr>
      <vt:lpstr>作成日</vt:lpstr>
      <vt:lpstr>祝日設定</vt:lpstr>
      <vt:lpstr>順</vt:lpstr>
      <vt:lpstr>進捗パーセント</vt:lpstr>
      <vt:lpstr>進捗報告日</vt:lpstr>
      <vt:lpstr>進捗報告日2</vt:lpstr>
      <vt:lpstr>進捗報告日確認</vt:lpstr>
      <vt:lpstr>進捗率</vt:lpstr>
      <vt:lpstr>説明</vt:lpstr>
      <vt:lpstr>対象バージョン</vt:lpstr>
      <vt:lpstr>予定工数履歴!題名</vt:lpstr>
      <vt:lpstr>題名</vt:lpstr>
      <vt:lpstr>予定工数履歴!担当者</vt:lpstr>
      <vt:lpstr>担当者</vt:lpstr>
      <vt:lpstr>担当者状況雛型行</vt:lpstr>
      <vt:lpstr>注意バッファ消費率開始時</vt:lpstr>
      <vt:lpstr>注意バッファ消費率終了時</vt:lpstr>
      <vt:lpstr>当初工数</vt:lpstr>
      <vt:lpstr>日付計算対象外</vt:lpstr>
      <vt:lpstr>無視休日祝日</vt:lpstr>
      <vt:lpstr>優先度</vt:lpstr>
      <vt:lpstr>予定工数</vt:lpstr>
      <vt:lpstr>予定工数履歴</vt:lpstr>
      <vt:lpstr>予定工数履歴雛型列</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nmrmsys</dc:creator>
  <cp:lastModifiedBy>Masayoshi Nomura</cp:lastModifiedBy>
  <cp:lastPrinted>2015-01-09T04:13:53Z</cp:lastPrinted>
  <dcterms:created xsi:type="dcterms:W3CDTF">2011-10-05T13:00:11Z</dcterms:created>
  <dcterms:modified xsi:type="dcterms:W3CDTF">2015-05-19T08:20:58Z</dcterms:modified>
</cp:coreProperties>
</file>